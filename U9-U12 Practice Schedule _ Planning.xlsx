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Day1" sheetId="1" r:id="rId5"/>
    <sheet state="visible" name="Practice Info" sheetId="2" r:id="rId6"/>
    <sheet state="visible" name="PlayerPosition Info" sheetId="3" r:id="rId7"/>
  </sheets>
  <definedNames/>
  <calcPr/>
</workbook>
</file>

<file path=xl/sharedStrings.xml><?xml version="1.0" encoding="utf-8"?>
<sst xmlns="http://schemas.openxmlformats.org/spreadsheetml/2006/main" count="114" uniqueCount="90">
  <si>
    <t>Player Name</t>
  </si>
  <si>
    <t>Experience Score</t>
  </si>
  <si>
    <t>Shift 1 Role</t>
  </si>
  <si>
    <t>Shift 2 Role</t>
  </si>
  <si>
    <t>Shift 3 Role</t>
  </si>
  <si>
    <t>Shift 4 Role</t>
  </si>
  <si>
    <t>Shift 5 Role</t>
  </si>
  <si>
    <t>Shift 6 Role</t>
  </si>
  <si>
    <t>Total Shifts Played</t>
  </si>
  <si>
    <t>Goalie Shifts</t>
  </si>
  <si>
    <t>Fossouo Mokom</t>
  </si>
  <si>
    <t>Striker</t>
  </si>
  <si>
    <t>Genevieve Kruder</t>
  </si>
  <si>
    <t>Mary Snow</t>
  </si>
  <si>
    <t>Mateo Gurrero</t>
  </si>
  <si>
    <t>Trent Marshall</t>
  </si>
  <si>
    <t>Nolan Wargo</t>
  </si>
  <si>
    <t>Reece Myers</t>
  </si>
  <si>
    <t>Skye Matthews</t>
  </si>
  <si>
    <t>Jay Wellbock</t>
  </si>
  <si>
    <t>Jonah Galvez</t>
  </si>
  <si>
    <t>Adrian Murphy</t>
  </si>
  <si>
    <t>Shift Score</t>
  </si>
  <si>
    <t>Traffic Light Audit</t>
  </si>
  <si>
    <t>Role Auditor</t>
  </si>
  <si>
    <t>Daily Practice Routine</t>
  </si>
  <si>
    <t>Time</t>
  </si>
  <si>
    <t>Activity</t>
  </si>
  <si>
    <t>Focus</t>
  </si>
  <si>
    <t>00-10m</t>
  </si>
  <si>
    <t>Warm-up &amp; Footwork</t>
  </si>
  <si>
    <t>Dynamic running + Training ladder for agility.</t>
  </si>
  <si>
    <t>10-20m</t>
  </si>
  <si>
    <t>Strategy Session</t>
  </si>
  <si>
    <t>Magnet board talk: Position names and daily goal.</t>
  </si>
  <si>
    <t>20-50m</t>
  </si>
  <si>
    <t>Technical Drills</t>
  </si>
  <si>
    <t>Small group rotations (Coaches lead specific stations).</t>
  </si>
  <si>
    <t>50-90m</t>
  </si>
  <si>
    <t>Game Play</t>
  </si>
  <si>
    <t>Scrimmage with "Freeze-Frame" coaching moments.</t>
  </si>
  <si>
    <t>Weekly Practice Agenda</t>
  </si>
  <si>
    <t>Date</t>
  </si>
  <si>
    <t>Strategy (Board)</t>
  </si>
  <si>
    <t>Station 1: Brennan</t>
  </si>
  <si>
    <t>Station 2: Ignatius</t>
  </si>
  <si>
    <t>The Offside Line: Visualizing the last defender.</t>
  </si>
  <si>
    <t>Offside Drill: Timing runs against the "3" defenders.</t>
  </si>
  <si>
    <t>Footwork: Ladder + Overlap/Weave passing.</t>
  </si>
  <si>
    <t>The Midfield Engine: The role of the "1."</t>
  </si>
  <si>
    <t>Pivot Play: The Midfielder receiving from the 3 and turning to the 2.</t>
  </si>
  <si>
    <t>Passing: Rondo (5v2) to emphasize quick possession.</t>
  </si>
  <si>
    <t>Attacking in Pairs: The "2" forwards.</t>
  </si>
  <si>
    <t>Forward Drills: Crossing and Finishing from corner kicks.</t>
  </si>
  <si>
    <t>Defense: Communication (Who is "First Defender" vs "Cover").</t>
  </si>
  <si>
    <t>4/16 &amp; 4/23</t>
  </si>
  <si>
    <t>Match Readiness: Ref signals and field talk.</t>
  </si>
  <si>
    <t>Scrimmage: Stop-and-start coaching to fix positioning.</t>
  </si>
  <si>
    <t>Keepers/D: Goalie glove work + Goal kicks.</t>
  </si>
  <si>
    <t>4/30 &amp; 5/7</t>
  </si>
  <si>
    <t>Objective: Overlap passing. The outside defenders (3) joining the attack.</t>
  </si>
  <si>
    <t>Exploiting the Wings: Using the 3-1-2 to stretch the defense.</t>
  </si>
  <si>
    <t>Technical: Corner kick redirection and volley practice.</t>
  </si>
  <si>
    <t>5/14 &amp; 5/21</t>
  </si>
  <si>
    <t>Objective: Interceptions. Teaching the Midfielder to "read" the opponent's pass.</t>
  </si>
  <si>
    <t>Winning the Midfield: The "1" must dominate the center.</t>
  </si>
  <si>
    <t>Conditioning: Ladder drills + Shuttle runs with the ball.</t>
  </si>
  <si>
    <t>Objective: Tactical "Step." The 3 defenders stepping up together on a whistle.</t>
  </si>
  <si>
    <t>Advanced Offside: Pulling the line up.</t>
  </si>
  <si>
    <t>Attack: 2v1 drills (Two strikers vs one defender).</t>
  </si>
  <si>
    <t>Objective: Shot selection. Knowing when to blast it vs. when to tuck it in.</t>
  </si>
  <si>
    <t>Final Third Execution: Finishing with power and accuracy.</t>
  </si>
  <si>
    <t>Possession: Full-field Rondo or 4v4 small-sided games.</t>
  </si>
  <si>
    <t>Power Score</t>
  </si>
  <si>
    <t>Experience</t>
  </si>
  <si>
    <t>Preferred Positions</t>
  </si>
  <si>
    <t>Suggested Shift Rotation</t>
  </si>
  <si>
    <t>Kit Number</t>
  </si>
  <si>
    <t>Notes (how can we help develop them?)</t>
  </si>
  <si>
    <t>Little experience</t>
  </si>
  <si>
    <t>Attack/Striker, Defense</t>
  </si>
  <si>
    <t>Some experience</t>
  </si>
  <si>
    <t>Defense, Midfield, Attack/Striker</t>
  </si>
  <si>
    <t>Very experienced</t>
  </si>
  <si>
    <t>Midfield, Defense</t>
  </si>
  <si>
    <t>Midfield, Attack/Striker</t>
  </si>
  <si>
    <t>Attack/Striker, Defense, Goalkeeper</t>
  </si>
  <si>
    <t>Defense, Attack/Striker</t>
  </si>
  <si>
    <t>Defense, Goalkeeper</t>
  </si>
  <si>
    <t>Attack/Striker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</si>
</sst>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9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theme="1"/>
      <name val="Arial"/>
    </font>
    <font>
      <b/>
      <sz val="17.0"/>
      <color rgb="FF1F1F1F"/>
      <name val="&quot;Google Sans Text&quot;"/>
    </font>
    <font>
      <i/>
      <color rgb="FF1F1F1F"/>
      <name val="&quot;Google Sans Text&quot;"/>
    </font>
    <font>
      <i/>
      <color theme="1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8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0" fontId="8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MatchDay1-style">
      <tableStyleElement dxfId="1" type="firstRowStripe"/>
      <tableStyleElement dxfId="2" type="secondRowStripe"/>
    </tableStyle>
    <tableStyle count="2" pivot="0" name="MatchDay1-style 2">
      <tableStyleElement dxfId="1" type="firstRowStripe"/>
      <tableStyleElement dxfId="2" type="secondRowStripe"/>
    </tableStyle>
    <tableStyle count="4" pivot="0" name="PlayerPosition Info-style">
      <tableStyleElement dxfId="5" type="headerRow"/>
      <tableStyleElement dxfId="1" type="firstRowStripe"/>
      <tableStyleElement dxfId="2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12" displayName="Table_1" name="Table_1" id="1">
  <tableColumns count="1">
    <tableColumn name="Column1" id="1"/>
  </tableColumns>
  <tableStyleInfo name="MatchDay1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A26" displayName="Table_2" name="Table_2" id="2">
  <tableColumns count="1">
    <tableColumn name="Column1" id="1"/>
  </tableColumns>
  <tableStyleInfo name="MatchDay1-style 2" showColumnStripes="0" showFirstColumn="1" showLastColumn="1" showRowStripes="1"/>
</table>
</file>

<file path=xl/tables/table3.xml><?xml version="1.0" encoding="utf-8"?>
<table xmlns="http://schemas.openxmlformats.org/spreadsheetml/2006/main" ref="A1:G12" displayName="Table1" name="Table1" id="3">
  <tableColumns count="7">
    <tableColumn name="Player Name" id="1"/>
    <tableColumn name="Power Score" id="2"/>
    <tableColumn name="Experience" id="3"/>
    <tableColumn name="Preferred Positions" id="4"/>
    <tableColumn name="Suggested Shift Rotation" id="5"/>
    <tableColumn name="Kit Number" id="6"/>
    <tableColumn name="Notes (how can we help develop them?)" id="7"/>
  </tableColumns>
  <tableStyleInfo name="PlayerPosition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13"/>
    <col customWidth="1" min="10" max="10" width="14.75"/>
    <col customWidth="1" min="25" max="2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W1" s="2" t="s">
        <v>8</v>
      </c>
    </row>
    <row r="2">
      <c r="A2" s="4" t="s">
        <v>10</v>
      </c>
      <c r="B2" s="1">
        <f t="shared" ref="B2:B12" si="1">IFERROR(VLOOKUP(A2, 'Player/Position Info'!$A$2:$B$50, 2, FALSE), 0)</f>
        <v>0</v>
      </c>
      <c r="C2" s="1" t="str">
        <f t="shared" ref="C2:C12" si="2">IF(ISBLANK($A2), "Bench", 
  IFS(
    $B2=3, "Striker",
    $B2=2, "Mid",
    $B2=1, IF(MOD(COLUMN(), 2)=0, "Defense", "Goalie")
  )
)</f>
        <v>#N/A</v>
      </c>
      <c r="D2" s="1" t="s">
        <v>11</v>
      </c>
      <c r="E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2" s="5">
        <f>COUNTIF(C2:H2, "&lt;&gt;Bench")-COUNTIF(C2:H2, "&lt;&gt;Rest")</f>
        <v>0</v>
      </c>
      <c r="J2" s="5">
        <f t="shared" ref="J2:J12" si="3">COUNTIF(C2:H2, "Goalie")</f>
        <v>0</v>
      </c>
      <c r="W2" s="6" t="str">
        <f>COUNTIF(B2:H2, A2) + COUNTIF(B3:H3, A2) + COUNTIF(B4:H4, A2) + ...</f>
        <v>#ERROR!</v>
      </c>
      <c r="X2" s="6" t="str">
        <f t="shared" ref="X2:X15" si="4">IF(W2 &lt; AVERAGE($W$2:$W$14), "✅ NEEDS TIME", "🛑 RESTING")</f>
        <v>#ERROR!</v>
      </c>
    </row>
    <row r="3">
      <c r="A3" s="4" t="s">
        <v>12</v>
      </c>
      <c r="B3" s="1">
        <f t="shared" si="1"/>
        <v>0</v>
      </c>
      <c r="C3" s="1" t="str">
        <f t="shared" si="2"/>
        <v>#N/A</v>
      </c>
      <c r="D3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3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3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3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3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3" s="5">
        <f t="shared" ref="I3:I12" si="5">COUNTIF(C3:H3, "Rest?")</f>
        <v>0</v>
      </c>
      <c r="J3" s="5">
        <f t="shared" si="3"/>
        <v>0</v>
      </c>
      <c r="W3" s="6" t="str">
        <f>COUNTIF(B2:H2, A2) + COUNTIF(B3:H3, A2) + COUNTIF(B4:H4, A2) + ...</f>
        <v>#ERROR!</v>
      </c>
      <c r="X3" s="6" t="str">
        <f t="shared" si="4"/>
        <v>#ERROR!</v>
      </c>
    </row>
    <row r="4">
      <c r="A4" s="4" t="s">
        <v>13</v>
      </c>
      <c r="B4" s="1">
        <f t="shared" si="1"/>
        <v>0</v>
      </c>
      <c r="C4" s="1" t="str">
        <f t="shared" si="2"/>
        <v>#N/A</v>
      </c>
      <c r="D4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4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4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4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4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4" s="5">
        <f t="shared" si="5"/>
        <v>0</v>
      </c>
      <c r="J4" s="5">
        <f t="shared" si="3"/>
        <v>0</v>
      </c>
      <c r="W4" s="6" t="str">
        <f>COUNTIF(B2:H2, A2) + COUNTIF(B3:H3, A2) + COUNTIF(B4:H4, A2) + ...</f>
        <v>#ERROR!</v>
      </c>
      <c r="X4" s="6" t="str">
        <f t="shared" si="4"/>
        <v>#ERROR!</v>
      </c>
    </row>
    <row r="5">
      <c r="A5" s="4" t="s">
        <v>14</v>
      </c>
      <c r="B5" s="1">
        <f t="shared" si="1"/>
        <v>0</v>
      </c>
      <c r="C5" s="1" t="str">
        <f t="shared" si="2"/>
        <v>#N/A</v>
      </c>
      <c r="D5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5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5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5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5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5" s="5">
        <f t="shared" si="5"/>
        <v>0</v>
      </c>
      <c r="J5" s="5">
        <f t="shared" si="3"/>
        <v>0</v>
      </c>
      <c r="W5" s="6" t="str">
        <f>COUNTIF(B2:H2, A2) + COUNTIF(B3:H3, A2) + COUNTIF(B4:H4, A2) + ...</f>
        <v>#ERROR!</v>
      </c>
      <c r="X5" s="6" t="str">
        <f t="shared" si="4"/>
        <v>#ERROR!</v>
      </c>
    </row>
    <row r="6">
      <c r="A6" s="4" t="s">
        <v>15</v>
      </c>
      <c r="B6" s="1">
        <f t="shared" si="1"/>
        <v>0</v>
      </c>
      <c r="C6" s="1" t="str">
        <f t="shared" si="2"/>
        <v>#N/A</v>
      </c>
      <c r="D6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6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6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6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6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6" s="5">
        <f t="shared" si="5"/>
        <v>0</v>
      </c>
      <c r="J6" s="5">
        <f t="shared" si="3"/>
        <v>0</v>
      </c>
      <c r="W6" s="6" t="str">
        <f>COUNTIF(B2:H2, A2) + COUNTIF(B3:H3, A2) + COUNTIF(B4:H4, A2) + ...</f>
        <v>#ERROR!</v>
      </c>
      <c r="X6" s="6" t="str">
        <f t="shared" si="4"/>
        <v>#ERROR!</v>
      </c>
    </row>
    <row r="7">
      <c r="A7" s="4" t="s">
        <v>16</v>
      </c>
      <c r="B7" s="1">
        <f t="shared" si="1"/>
        <v>0</v>
      </c>
      <c r="C7" s="1" t="str">
        <f t="shared" si="2"/>
        <v>#N/A</v>
      </c>
      <c r="D7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7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7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7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7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7" s="5">
        <f t="shared" si="5"/>
        <v>0</v>
      </c>
      <c r="J7" s="5">
        <f t="shared" si="3"/>
        <v>0</v>
      </c>
      <c r="W7" s="6" t="str">
        <f>COUNTIF(B2:H2, A2) + COUNTIF(B3:H3, A2) + COUNTIF(B4:H4, A2) + ...</f>
        <v>#ERROR!</v>
      </c>
      <c r="X7" s="6" t="str">
        <f t="shared" si="4"/>
        <v>#ERROR!</v>
      </c>
    </row>
    <row r="8">
      <c r="A8" s="4" t="s">
        <v>17</v>
      </c>
      <c r="B8" s="1">
        <f t="shared" si="1"/>
        <v>0</v>
      </c>
      <c r="C8" s="1" t="str">
        <f t="shared" si="2"/>
        <v>#N/A</v>
      </c>
      <c r="D8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8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8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8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8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8" s="5">
        <f t="shared" si="5"/>
        <v>0</v>
      </c>
      <c r="J8" s="5">
        <f t="shared" si="3"/>
        <v>0</v>
      </c>
      <c r="W8" s="6" t="str">
        <f>COUNTIF(B2:H2, A2) + COUNTIF(B3:H3, A2) + COUNTIF(B4:H4, A2) + ...</f>
        <v>#ERROR!</v>
      </c>
      <c r="X8" s="6" t="str">
        <f t="shared" si="4"/>
        <v>#ERROR!</v>
      </c>
    </row>
    <row r="9">
      <c r="A9" s="4" t="s">
        <v>18</v>
      </c>
      <c r="B9" s="1">
        <f t="shared" si="1"/>
        <v>0</v>
      </c>
      <c r="C9" s="1" t="str">
        <f t="shared" si="2"/>
        <v>#N/A</v>
      </c>
      <c r="D9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9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9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9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9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9" s="5">
        <f t="shared" si="5"/>
        <v>0</v>
      </c>
      <c r="J9" s="5">
        <f t="shared" si="3"/>
        <v>0</v>
      </c>
      <c r="W9" s="6" t="str">
        <f>COUNTIF(B2:H2, A2) + COUNTIF(B3:H3, A2) + COUNTIF(B4:H4, A2) + ...</f>
        <v>#ERROR!</v>
      </c>
      <c r="X9" s="6" t="str">
        <f t="shared" si="4"/>
        <v>#ERROR!</v>
      </c>
    </row>
    <row r="10">
      <c r="A10" s="4" t="s">
        <v>19</v>
      </c>
      <c r="B10" s="1">
        <f t="shared" si="1"/>
        <v>0</v>
      </c>
      <c r="C10" s="1" t="str">
        <f t="shared" si="2"/>
        <v>#N/A</v>
      </c>
      <c r="D10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10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10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10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10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10" s="5">
        <f t="shared" si="5"/>
        <v>0</v>
      </c>
      <c r="J10" s="5">
        <f t="shared" si="3"/>
        <v>0</v>
      </c>
      <c r="W10" s="6" t="str">
        <f>COUNTIF(B2:H2, A2) + COUNTIF(B3:H3, A2) + COUNTIF(B4:H4, A2) + ...</f>
        <v>#ERROR!</v>
      </c>
      <c r="X10" s="6" t="str">
        <f t="shared" si="4"/>
        <v>#ERROR!</v>
      </c>
    </row>
    <row r="11">
      <c r="A11" s="4" t="s">
        <v>20</v>
      </c>
      <c r="B11" s="1">
        <f t="shared" si="1"/>
        <v>0</v>
      </c>
      <c r="C11" s="1" t="str">
        <f t="shared" si="2"/>
        <v>#N/A</v>
      </c>
      <c r="D11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11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11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11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11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11" s="5">
        <f t="shared" si="5"/>
        <v>0</v>
      </c>
      <c r="J11" s="5">
        <f t="shared" si="3"/>
        <v>0</v>
      </c>
      <c r="W11" s="6" t="str">
        <f>COUNTIF(B2:H2, A2) + COUNTIF(B3:H3, A2) + COUNTIF(B4:H4, A2) + ...</f>
        <v>#ERROR!</v>
      </c>
      <c r="X11" s="6" t="str">
        <f t="shared" si="4"/>
        <v>#ERROR!</v>
      </c>
    </row>
    <row r="12">
      <c r="A12" s="4" t="s">
        <v>21</v>
      </c>
      <c r="B12" s="1">
        <f t="shared" si="1"/>
        <v>0</v>
      </c>
      <c r="C12" s="1" t="str">
        <f t="shared" si="2"/>
        <v>#N/A</v>
      </c>
      <c r="D1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E1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F1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G1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H12" s="1" t="str">
        <f>IF(ISBLANK(#REF!), "Bench", 
  IF(VLOOKUP(#REF!, 'PlayerPosition Info'!$A$2:$C$50, 3, FALSE)="Goalie", "Goalie", 
  IF(VLOOKUP(#REF!, 'PlayerPosition Info'!$A$2:$C$50, 3, FALSE)="Defense", "Defense", 
  IF(VLOOKUP(#REF!, 'PlayerPosition Info'!$A$2:$C$50, 3, FALSE)="Mid", "Mid", "Attack"))))</f>
        <v>#REF!</v>
      </c>
      <c r="I12" s="5">
        <f t="shared" si="5"/>
        <v>0</v>
      </c>
      <c r="J12" s="5">
        <f t="shared" si="3"/>
        <v>0</v>
      </c>
      <c r="W12" s="6" t="str">
        <f>COUNTIF(B2:H2, A2) + COUNTIF(B3:H3, A2) + COUNTIF(B4:H4, A2) + ...</f>
        <v>#ERROR!</v>
      </c>
      <c r="X12" s="6" t="str">
        <f t="shared" si="4"/>
        <v>#ERROR!</v>
      </c>
    </row>
    <row r="13">
      <c r="I13" s="5"/>
      <c r="J13" s="5"/>
      <c r="W13" s="6" t="str">
        <f>COUNTIF(B2:H2, A2) + COUNTIF(B3:H3, A2) + COUNTIF(B4:H4, A2) + ...</f>
        <v>#ERROR!</v>
      </c>
      <c r="X13" s="6" t="str">
        <f t="shared" si="4"/>
        <v>#ERROR!</v>
      </c>
    </row>
    <row r="14">
      <c r="A14" s="2" t="s">
        <v>22</v>
      </c>
      <c r="C14" s="6" t="str">
        <f>SUMPRODUCT(SUMIF('PlayerPosition Info'!$A$2:$A$50, $A$2:$A$12, 'PlayerPosition Info'!$B$2:$B$50) * (C$2:C$12&lt;&gt;"Rest") * (C$2:C$12&lt;&gt;"Bench"))</f>
        <v>#N/A</v>
      </c>
      <c r="D14" s="6" t="str">
        <f>SUMPRODUCT(SUMIF('PlayerPosition Info'!$A$2:$A$50, $A$2:$A$12, 'PlayerPosition Info'!$B$2:$B$50) * (D$2:D$12&lt;&gt;"Rest") * (D$2:D$12&lt;&gt;"Bench"))</f>
        <v>#REF!</v>
      </c>
      <c r="E14" s="6" t="str">
        <f>SUMPRODUCT(SUMIF('PlayerPosition Info'!$A$2:$A$50, $A$2:$A$12, 'PlayerPosition Info'!$B$2:$B$50) * (E$2:E$12&lt;&gt;"Rest") * (E$2:E$12&lt;&gt;"Bench"))</f>
        <v>#REF!</v>
      </c>
      <c r="F14" s="6" t="str">
        <f>SUMPRODUCT(SUMIF('PlayerPosition Info'!$A$2:$A$50, $A$2:$A$12, 'PlayerPosition Info'!$B$2:$B$50) * (F$2:F$12&lt;&gt;"Rest") * (F$2:F$12&lt;&gt;"Bench"))</f>
        <v>#REF!</v>
      </c>
      <c r="G14" s="6" t="str">
        <f>SUMPRODUCT(SUMIF('PlayerPosition Info'!$A$2:$A$50, $A$2:$A$12, 'PlayerPosition Info'!$B$2:$B$50) * (G$2:G$12&lt;&gt;"Rest") * (G$2:G$12&lt;&gt;"Bench"))</f>
        <v>#REF!</v>
      </c>
      <c r="H14" s="6" t="str">
        <f>SUMPRODUCT(SUMIF('PlayerPosition Info'!$A$2:$A$50, $A$2:$A$12, 'PlayerPosition Info'!$B$2:$B$50) * (H$2:H$12&lt;&gt;"Rest") * (H$2:H$12&lt;&gt;"Bench"))</f>
        <v>#REF!</v>
      </c>
      <c r="I14" s="5"/>
      <c r="J14" s="5"/>
      <c r="W14" s="6" t="str">
        <f>COUNTIF(B2:H2, A2) + COUNTIF(B3:H3, A2) + COUNTIF(B4:H4, A2) + ...</f>
        <v>#ERROR!</v>
      </c>
      <c r="X14" s="6" t="str">
        <f t="shared" si="4"/>
        <v>#ERROR!</v>
      </c>
    </row>
    <row r="15">
      <c r="A15" s="2" t="s">
        <v>23</v>
      </c>
      <c r="C15" s="6" t="str">
        <f t="shared" ref="C15:H15" si="6">IF(C14=0, "", IF(C14&lt;10, "⚠️ WEAK", "✅ BALANCED"))</f>
        <v>#N/A</v>
      </c>
      <c r="D15" s="6" t="str">
        <f t="shared" si="6"/>
        <v>#REF!</v>
      </c>
      <c r="E15" s="6" t="str">
        <f t="shared" si="6"/>
        <v>#REF!</v>
      </c>
      <c r="F15" s="6" t="str">
        <f t="shared" si="6"/>
        <v>#REF!</v>
      </c>
      <c r="G15" s="6" t="str">
        <f t="shared" si="6"/>
        <v>#REF!</v>
      </c>
      <c r="H15" s="6" t="str">
        <f t="shared" si="6"/>
        <v>#REF!</v>
      </c>
      <c r="I15" s="5"/>
      <c r="J15" s="5"/>
      <c r="W15" s="6" t="str">
        <f>COUNTIF(B2:H2, A2) + COUNTIF(B3:H3, A2) + COUNTIF(B4:H4, A2) + ...</f>
        <v>#ERROR!</v>
      </c>
      <c r="X15" s="6" t="str">
        <f t="shared" si="4"/>
        <v>#ERROR!</v>
      </c>
    </row>
    <row r="16">
      <c r="A16" s="2" t="s">
        <v>24</v>
      </c>
      <c r="C16" s="6">
        <f t="shared" ref="C16:H16" si="7">COUNTIF(C2:C12, "Goalie")</f>
        <v>0</v>
      </c>
      <c r="D16" s="6">
        <f t="shared" si="7"/>
        <v>0</v>
      </c>
      <c r="E16" s="6">
        <f t="shared" si="7"/>
        <v>0</v>
      </c>
      <c r="F16" s="6">
        <f t="shared" si="7"/>
        <v>0</v>
      </c>
      <c r="G16" s="6">
        <f t="shared" si="7"/>
        <v>0</v>
      </c>
      <c r="H16" s="6">
        <f t="shared" si="7"/>
        <v>0</v>
      </c>
    </row>
    <row r="17">
      <c r="I17" s="5"/>
      <c r="J17" s="5"/>
      <c r="W17" s="6" t="str">
        <f>COUNTIF(B2:H2, A2) + COUNTIF(B3:H3, A2) + COUNTIF(B4:H4, A2) + ...</f>
        <v>#ERROR!</v>
      </c>
      <c r="X17" s="6" t="str">
        <f>IF(W17 &lt; AVERAGE($W$2:$W$14), "✅ NEEDS TIME", "🛑 RESTING")</f>
        <v>#ERROR!</v>
      </c>
    </row>
    <row r="18">
      <c r="I18" s="3"/>
      <c r="J18" s="3"/>
    </row>
    <row r="19">
      <c r="I19" s="3"/>
      <c r="J19" s="3"/>
    </row>
    <row r="20">
      <c r="I20" s="3"/>
      <c r="J20" s="3"/>
    </row>
    <row r="21">
      <c r="I21" s="3"/>
      <c r="J21" s="3"/>
    </row>
    <row r="22">
      <c r="I22" s="3"/>
      <c r="J22" s="3"/>
    </row>
    <row r="23">
      <c r="I23" s="3"/>
      <c r="J23" s="3"/>
    </row>
    <row r="24">
      <c r="I24" s="3"/>
      <c r="J24" s="3"/>
    </row>
    <row r="25">
      <c r="I25" s="3"/>
      <c r="J25" s="3"/>
    </row>
    <row r="26">
      <c r="I26" s="3"/>
      <c r="J26" s="3"/>
    </row>
    <row r="27">
      <c r="I27" s="3"/>
      <c r="J27" s="3"/>
    </row>
    <row r="28">
      <c r="I28" s="3"/>
      <c r="J28" s="3"/>
    </row>
    <row r="29">
      <c r="I29" s="3"/>
      <c r="J29" s="3"/>
    </row>
    <row r="30">
      <c r="I30" s="3"/>
      <c r="J30" s="3"/>
    </row>
    <row r="31">
      <c r="I31" s="3"/>
      <c r="J31" s="3"/>
    </row>
    <row r="32">
      <c r="I32" s="3"/>
      <c r="J32" s="3"/>
    </row>
    <row r="33">
      <c r="I33" s="3"/>
      <c r="J33" s="3"/>
    </row>
    <row r="34">
      <c r="I34" s="3"/>
      <c r="J34" s="3"/>
    </row>
    <row r="35">
      <c r="I35" s="3"/>
      <c r="J35" s="3"/>
    </row>
    <row r="36">
      <c r="I36" s="3"/>
      <c r="J36" s="3"/>
    </row>
    <row r="37">
      <c r="I37" s="3"/>
      <c r="J37" s="3"/>
    </row>
    <row r="38">
      <c r="I38" s="3"/>
      <c r="J38" s="3"/>
    </row>
    <row r="39">
      <c r="I39" s="3"/>
      <c r="J39" s="3"/>
    </row>
    <row r="40">
      <c r="I40" s="3"/>
      <c r="J40" s="3"/>
    </row>
    <row r="41">
      <c r="I41" s="3"/>
      <c r="J41" s="3"/>
    </row>
    <row r="42">
      <c r="I42" s="3"/>
      <c r="J42" s="3"/>
    </row>
    <row r="43">
      <c r="I43" s="3"/>
      <c r="J43" s="3"/>
    </row>
    <row r="44">
      <c r="I44" s="3"/>
      <c r="J44" s="3"/>
    </row>
    <row r="45">
      <c r="I45" s="3"/>
      <c r="J45" s="3"/>
    </row>
    <row r="46">
      <c r="I46" s="3"/>
      <c r="J46" s="3"/>
    </row>
    <row r="47">
      <c r="I47" s="3"/>
      <c r="J47" s="3"/>
    </row>
    <row r="48">
      <c r="I48" s="3"/>
      <c r="J48" s="3"/>
    </row>
    <row r="49">
      <c r="I49" s="3"/>
      <c r="J49" s="3"/>
    </row>
    <row r="50">
      <c r="I50" s="3"/>
      <c r="J50" s="3"/>
    </row>
    <row r="51">
      <c r="I51" s="3"/>
      <c r="J51" s="3"/>
    </row>
    <row r="52">
      <c r="I52" s="3"/>
      <c r="J52" s="3"/>
    </row>
    <row r="53">
      <c r="I53" s="3"/>
      <c r="J53" s="3"/>
    </row>
    <row r="54">
      <c r="I54" s="3"/>
      <c r="J54" s="3"/>
    </row>
    <row r="55">
      <c r="I55" s="3"/>
      <c r="J55" s="3"/>
    </row>
    <row r="56">
      <c r="I56" s="3"/>
      <c r="J56" s="3"/>
    </row>
    <row r="57">
      <c r="I57" s="3"/>
      <c r="J57" s="3"/>
    </row>
    <row r="58">
      <c r="I58" s="3"/>
      <c r="J58" s="3"/>
    </row>
    <row r="59">
      <c r="I59" s="3"/>
      <c r="J59" s="3"/>
    </row>
    <row r="60">
      <c r="I60" s="3"/>
      <c r="J60" s="3"/>
    </row>
    <row r="61">
      <c r="I61" s="3"/>
      <c r="J61" s="3"/>
    </row>
    <row r="62">
      <c r="I62" s="3"/>
      <c r="J62" s="3"/>
    </row>
    <row r="63">
      <c r="I63" s="3"/>
      <c r="J63" s="3"/>
    </row>
    <row r="64">
      <c r="I64" s="3"/>
      <c r="J64" s="3"/>
    </row>
    <row r="65">
      <c r="I65" s="3"/>
      <c r="J65" s="3"/>
    </row>
    <row r="66">
      <c r="I66" s="3"/>
      <c r="J66" s="3"/>
    </row>
    <row r="67">
      <c r="I67" s="3"/>
      <c r="J67" s="3"/>
    </row>
    <row r="68">
      <c r="I68" s="3"/>
      <c r="J68" s="3"/>
    </row>
    <row r="69">
      <c r="I69" s="3"/>
      <c r="J69" s="3"/>
    </row>
    <row r="70">
      <c r="I70" s="3"/>
      <c r="J70" s="3"/>
    </row>
    <row r="71">
      <c r="I71" s="3"/>
      <c r="J71" s="3"/>
    </row>
    <row r="72">
      <c r="I72" s="3"/>
      <c r="J72" s="3"/>
    </row>
    <row r="73">
      <c r="I73" s="3"/>
      <c r="J73" s="3"/>
    </row>
    <row r="74">
      <c r="I74" s="3"/>
      <c r="J74" s="3"/>
    </row>
    <row r="75">
      <c r="I75" s="3"/>
      <c r="J75" s="3"/>
    </row>
    <row r="76">
      <c r="I76" s="3"/>
      <c r="J76" s="3"/>
    </row>
    <row r="77">
      <c r="I77" s="3"/>
      <c r="J77" s="3"/>
    </row>
    <row r="78">
      <c r="I78" s="3"/>
      <c r="J78" s="3"/>
    </row>
    <row r="79">
      <c r="I79" s="3"/>
      <c r="J79" s="3"/>
    </row>
    <row r="80">
      <c r="I80" s="3"/>
      <c r="J80" s="3"/>
    </row>
    <row r="81">
      <c r="I81" s="3"/>
      <c r="J81" s="3"/>
    </row>
    <row r="82">
      <c r="I82" s="3"/>
      <c r="J82" s="3"/>
    </row>
    <row r="83">
      <c r="I83" s="3"/>
      <c r="J83" s="3"/>
    </row>
    <row r="84">
      <c r="I84" s="3"/>
      <c r="J84" s="3"/>
    </row>
    <row r="85">
      <c r="I85" s="3"/>
      <c r="J85" s="3"/>
    </row>
    <row r="86">
      <c r="I86" s="3"/>
      <c r="J86" s="3"/>
    </row>
    <row r="87">
      <c r="I87" s="3"/>
      <c r="J87" s="3"/>
    </row>
    <row r="88">
      <c r="I88" s="3"/>
      <c r="J88" s="3"/>
    </row>
    <row r="89">
      <c r="I89" s="3"/>
      <c r="J89" s="3"/>
    </row>
    <row r="90">
      <c r="I90" s="3"/>
      <c r="J90" s="3"/>
    </row>
    <row r="91">
      <c r="I91" s="3"/>
      <c r="J91" s="3"/>
    </row>
    <row r="92">
      <c r="I92" s="3"/>
      <c r="J92" s="3"/>
    </row>
    <row r="93">
      <c r="I93" s="3"/>
      <c r="J93" s="3"/>
    </row>
    <row r="94">
      <c r="I94" s="3"/>
      <c r="J94" s="3"/>
    </row>
    <row r="95">
      <c r="I95" s="3"/>
      <c r="J95" s="3"/>
    </row>
    <row r="96">
      <c r="I96" s="3"/>
      <c r="J96" s="3"/>
    </row>
    <row r="97">
      <c r="I97" s="3"/>
      <c r="J97" s="3"/>
    </row>
    <row r="98">
      <c r="I98" s="3"/>
      <c r="J98" s="3"/>
    </row>
    <row r="99">
      <c r="I99" s="3"/>
      <c r="J99" s="3"/>
    </row>
    <row r="100">
      <c r="I100" s="3"/>
      <c r="J100" s="3"/>
    </row>
    <row r="101">
      <c r="I101" s="3"/>
      <c r="J101" s="3"/>
    </row>
    <row r="102">
      <c r="I102" s="3"/>
      <c r="J102" s="3"/>
    </row>
    <row r="103">
      <c r="I103" s="3"/>
      <c r="J103" s="3"/>
    </row>
    <row r="104">
      <c r="I104" s="3"/>
      <c r="J104" s="3"/>
    </row>
    <row r="105">
      <c r="I105" s="3"/>
      <c r="J105" s="3"/>
    </row>
    <row r="106">
      <c r="I106" s="3"/>
      <c r="J106" s="3"/>
    </row>
    <row r="107">
      <c r="I107" s="3"/>
      <c r="J107" s="3"/>
    </row>
    <row r="108">
      <c r="I108" s="3"/>
      <c r="J108" s="3"/>
    </row>
    <row r="109">
      <c r="I109" s="3"/>
      <c r="J109" s="3"/>
    </row>
    <row r="110">
      <c r="I110" s="3"/>
      <c r="J110" s="3"/>
    </row>
    <row r="111">
      <c r="I111" s="3"/>
      <c r="J111" s="3"/>
    </row>
    <row r="112">
      <c r="I112" s="3"/>
      <c r="J112" s="3"/>
    </row>
    <row r="113">
      <c r="I113" s="3"/>
      <c r="J113" s="3"/>
    </row>
    <row r="114">
      <c r="I114" s="3"/>
      <c r="J114" s="3"/>
    </row>
    <row r="115">
      <c r="I115" s="3"/>
      <c r="J115" s="3"/>
    </row>
    <row r="116">
      <c r="I116" s="3"/>
      <c r="J116" s="3"/>
    </row>
    <row r="117">
      <c r="I117" s="3"/>
      <c r="J117" s="3"/>
    </row>
    <row r="118">
      <c r="I118" s="3"/>
      <c r="J118" s="3"/>
    </row>
    <row r="119">
      <c r="I119" s="3"/>
      <c r="J119" s="3"/>
    </row>
    <row r="120">
      <c r="I120" s="3"/>
      <c r="J120" s="3"/>
    </row>
    <row r="121">
      <c r="I121" s="3"/>
      <c r="J121" s="3"/>
    </row>
    <row r="122">
      <c r="I122" s="3"/>
      <c r="J122" s="3"/>
    </row>
    <row r="123">
      <c r="I123" s="3"/>
      <c r="J123" s="3"/>
    </row>
    <row r="124">
      <c r="I124" s="3"/>
      <c r="J124" s="3"/>
    </row>
    <row r="125">
      <c r="I125" s="3"/>
      <c r="J125" s="3"/>
    </row>
    <row r="126">
      <c r="I126" s="3"/>
      <c r="J126" s="3"/>
    </row>
    <row r="127">
      <c r="I127" s="3"/>
      <c r="J127" s="3"/>
    </row>
    <row r="128">
      <c r="I128" s="3"/>
      <c r="J128" s="3"/>
    </row>
    <row r="129">
      <c r="I129" s="3"/>
      <c r="J129" s="3"/>
    </row>
    <row r="130">
      <c r="I130" s="3"/>
      <c r="J130" s="3"/>
    </row>
    <row r="131">
      <c r="I131" s="3"/>
      <c r="J131" s="3"/>
    </row>
    <row r="132">
      <c r="I132" s="3"/>
      <c r="J132" s="3"/>
    </row>
    <row r="133">
      <c r="I133" s="3"/>
      <c r="J133" s="3"/>
    </row>
    <row r="134">
      <c r="I134" s="3"/>
      <c r="J134" s="3"/>
    </row>
    <row r="135">
      <c r="I135" s="3"/>
      <c r="J135" s="3"/>
    </row>
    <row r="136">
      <c r="I136" s="3"/>
      <c r="J136" s="3"/>
    </row>
    <row r="137">
      <c r="I137" s="3"/>
      <c r="J137" s="3"/>
    </row>
    <row r="138">
      <c r="I138" s="3"/>
      <c r="J138" s="3"/>
    </row>
    <row r="139">
      <c r="I139" s="3"/>
      <c r="J139" s="3"/>
    </row>
    <row r="140">
      <c r="I140" s="3"/>
      <c r="J140" s="3"/>
    </row>
    <row r="141">
      <c r="I141" s="3"/>
      <c r="J141" s="3"/>
    </row>
    <row r="142">
      <c r="I142" s="3"/>
      <c r="J142" s="3"/>
    </row>
    <row r="143">
      <c r="I143" s="3"/>
      <c r="J143" s="3"/>
    </row>
    <row r="144">
      <c r="I144" s="3"/>
      <c r="J144" s="3"/>
    </row>
    <row r="145">
      <c r="I145" s="3"/>
      <c r="J145" s="3"/>
    </row>
    <row r="146">
      <c r="I146" s="3"/>
      <c r="J146" s="3"/>
    </row>
    <row r="147">
      <c r="I147" s="3"/>
      <c r="J147" s="3"/>
    </row>
    <row r="148">
      <c r="I148" s="3"/>
      <c r="J148" s="3"/>
    </row>
    <row r="149">
      <c r="I149" s="3"/>
      <c r="J149" s="3"/>
    </row>
    <row r="150">
      <c r="I150" s="3"/>
      <c r="J150" s="3"/>
    </row>
    <row r="151">
      <c r="I151" s="3"/>
      <c r="J151" s="3"/>
    </row>
    <row r="152">
      <c r="I152" s="3"/>
      <c r="J152" s="3"/>
    </row>
    <row r="153">
      <c r="I153" s="3"/>
      <c r="J153" s="3"/>
    </row>
    <row r="154">
      <c r="I154" s="3"/>
      <c r="J154" s="3"/>
    </row>
    <row r="155">
      <c r="I155" s="3"/>
      <c r="J155" s="3"/>
    </row>
    <row r="156">
      <c r="I156" s="3"/>
      <c r="J156" s="3"/>
    </row>
    <row r="157">
      <c r="I157" s="3"/>
      <c r="J157" s="3"/>
    </row>
    <row r="158">
      <c r="I158" s="3"/>
      <c r="J158" s="3"/>
    </row>
    <row r="159">
      <c r="I159" s="3"/>
      <c r="J159" s="3"/>
    </row>
    <row r="160">
      <c r="I160" s="3"/>
      <c r="J160" s="3"/>
    </row>
    <row r="161">
      <c r="I161" s="3"/>
      <c r="J161" s="3"/>
    </row>
    <row r="162">
      <c r="I162" s="3"/>
      <c r="J162" s="3"/>
    </row>
    <row r="163">
      <c r="I163" s="3"/>
      <c r="J163" s="3"/>
    </row>
    <row r="164">
      <c r="I164" s="3"/>
      <c r="J164" s="3"/>
    </row>
    <row r="165">
      <c r="I165" s="3"/>
      <c r="J165" s="3"/>
    </row>
    <row r="166">
      <c r="I166" s="3"/>
      <c r="J166" s="3"/>
    </row>
    <row r="167">
      <c r="I167" s="3"/>
      <c r="J167" s="3"/>
    </row>
    <row r="168">
      <c r="I168" s="3"/>
      <c r="J168" s="3"/>
    </row>
    <row r="169">
      <c r="I169" s="3"/>
      <c r="J169" s="3"/>
    </row>
    <row r="170">
      <c r="I170" s="3"/>
      <c r="J170" s="3"/>
    </row>
    <row r="171">
      <c r="I171" s="3"/>
      <c r="J171" s="3"/>
    </row>
    <row r="172">
      <c r="I172" s="3"/>
      <c r="J172" s="3"/>
    </row>
    <row r="173">
      <c r="I173" s="3"/>
      <c r="J173" s="3"/>
    </row>
    <row r="174">
      <c r="I174" s="3"/>
      <c r="J174" s="3"/>
    </row>
    <row r="175">
      <c r="I175" s="3"/>
      <c r="J175" s="3"/>
    </row>
    <row r="176">
      <c r="I176" s="3"/>
      <c r="J176" s="3"/>
    </row>
    <row r="177">
      <c r="I177" s="3"/>
      <c r="J177" s="3"/>
    </row>
    <row r="178">
      <c r="I178" s="3"/>
      <c r="J178" s="3"/>
    </row>
    <row r="179">
      <c r="I179" s="3"/>
      <c r="J179" s="3"/>
    </row>
    <row r="180">
      <c r="I180" s="3"/>
      <c r="J180" s="3"/>
    </row>
    <row r="181">
      <c r="I181" s="3"/>
      <c r="J181" s="3"/>
    </row>
    <row r="182">
      <c r="I182" s="3"/>
      <c r="J182" s="3"/>
    </row>
    <row r="183">
      <c r="I183" s="3"/>
      <c r="J183" s="3"/>
    </row>
    <row r="184">
      <c r="I184" s="3"/>
      <c r="J184" s="3"/>
    </row>
    <row r="185">
      <c r="I185" s="3"/>
      <c r="J185" s="3"/>
    </row>
    <row r="186">
      <c r="I186" s="3"/>
      <c r="J186" s="3"/>
    </row>
    <row r="187">
      <c r="I187" s="3"/>
      <c r="J187" s="3"/>
    </row>
    <row r="188">
      <c r="I188" s="3"/>
      <c r="J188" s="3"/>
    </row>
    <row r="189">
      <c r="I189" s="3"/>
      <c r="J189" s="3"/>
    </row>
    <row r="190">
      <c r="I190" s="3"/>
      <c r="J190" s="3"/>
    </row>
    <row r="191">
      <c r="I191" s="3"/>
      <c r="J191" s="3"/>
    </row>
    <row r="192">
      <c r="I192" s="3"/>
      <c r="J192" s="3"/>
    </row>
    <row r="193">
      <c r="I193" s="3"/>
      <c r="J193" s="3"/>
    </row>
    <row r="194">
      <c r="I194" s="3"/>
      <c r="J194" s="3"/>
    </row>
    <row r="195">
      <c r="I195" s="3"/>
      <c r="J195" s="3"/>
    </row>
    <row r="196">
      <c r="I196" s="3"/>
      <c r="J196" s="3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  <row r="203">
      <c r="I203" s="3"/>
      <c r="J203" s="3"/>
    </row>
    <row r="204">
      <c r="I204" s="3"/>
      <c r="J204" s="3"/>
    </row>
    <row r="205">
      <c r="I205" s="3"/>
      <c r="J205" s="3"/>
    </row>
    <row r="206">
      <c r="I206" s="3"/>
      <c r="J206" s="3"/>
    </row>
    <row r="207">
      <c r="I207" s="3"/>
      <c r="J207" s="3"/>
    </row>
    <row r="208">
      <c r="I208" s="3"/>
      <c r="J208" s="3"/>
    </row>
    <row r="209">
      <c r="I209" s="3"/>
      <c r="J209" s="3"/>
    </row>
    <row r="210">
      <c r="I210" s="3"/>
      <c r="J210" s="3"/>
    </row>
    <row r="211">
      <c r="I211" s="3"/>
      <c r="J211" s="3"/>
    </row>
    <row r="212">
      <c r="I212" s="3"/>
      <c r="J212" s="3"/>
    </row>
    <row r="213">
      <c r="I213" s="3"/>
      <c r="J213" s="3"/>
    </row>
    <row r="214">
      <c r="I214" s="3"/>
      <c r="J214" s="3"/>
    </row>
    <row r="215">
      <c r="I215" s="3"/>
      <c r="J215" s="3"/>
    </row>
    <row r="216">
      <c r="I216" s="3"/>
      <c r="J216" s="3"/>
    </row>
    <row r="217">
      <c r="I217" s="3"/>
      <c r="J217" s="3"/>
    </row>
    <row r="218">
      <c r="I218" s="3"/>
      <c r="J218" s="3"/>
    </row>
    <row r="219">
      <c r="I219" s="3"/>
      <c r="J219" s="3"/>
    </row>
    <row r="220">
      <c r="I220" s="3"/>
      <c r="J220" s="3"/>
    </row>
    <row r="221">
      <c r="I221" s="3"/>
      <c r="J221" s="3"/>
    </row>
    <row r="222">
      <c r="I222" s="3"/>
      <c r="J222" s="3"/>
    </row>
    <row r="223">
      <c r="I223" s="3"/>
      <c r="J223" s="3"/>
    </row>
    <row r="224">
      <c r="I224" s="3"/>
      <c r="J224" s="3"/>
    </row>
    <row r="225">
      <c r="I225" s="3"/>
      <c r="J225" s="3"/>
    </row>
    <row r="226">
      <c r="I226" s="3"/>
      <c r="J226" s="3"/>
    </row>
    <row r="227">
      <c r="I227" s="3"/>
      <c r="J227" s="3"/>
    </row>
    <row r="228">
      <c r="I228" s="3"/>
      <c r="J228" s="3"/>
    </row>
    <row r="229">
      <c r="I229" s="3"/>
      <c r="J229" s="3"/>
    </row>
    <row r="230">
      <c r="I230" s="3"/>
      <c r="J230" s="3"/>
    </row>
    <row r="231">
      <c r="I231" s="3"/>
      <c r="J231" s="3"/>
    </row>
    <row r="232">
      <c r="I232" s="3"/>
      <c r="J232" s="3"/>
    </row>
    <row r="233">
      <c r="I233" s="3"/>
      <c r="J233" s="3"/>
    </row>
    <row r="234">
      <c r="I234" s="3"/>
      <c r="J234" s="3"/>
    </row>
    <row r="235">
      <c r="I235" s="3"/>
      <c r="J235" s="3"/>
    </row>
    <row r="236">
      <c r="I236" s="3"/>
      <c r="J236" s="3"/>
    </row>
    <row r="237">
      <c r="I237" s="3"/>
      <c r="J237" s="3"/>
    </row>
    <row r="238">
      <c r="I238" s="3"/>
      <c r="J238" s="3"/>
    </row>
    <row r="239">
      <c r="I239" s="3"/>
      <c r="J239" s="3"/>
    </row>
    <row r="240">
      <c r="I240" s="3"/>
      <c r="J240" s="3"/>
    </row>
    <row r="241">
      <c r="I241" s="3"/>
      <c r="J241" s="3"/>
    </row>
    <row r="242">
      <c r="I242" s="3"/>
      <c r="J242" s="3"/>
    </row>
    <row r="243">
      <c r="I243" s="3"/>
      <c r="J243" s="3"/>
    </row>
    <row r="244">
      <c r="I244" s="3"/>
      <c r="J244" s="3"/>
    </row>
    <row r="245">
      <c r="I245" s="3"/>
      <c r="J245" s="3"/>
    </row>
    <row r="246">
      <c r="I246" s="3"/>
      <c r="J246" s="3"/>
    </row>
    <row r="247">
      <c r="I247" s="3"/>
      <c r="J247" s="3"/>
    </row>
    <row r="248">
      <c r="I248" s="3"/>
      <c r="J248" s="3"/>
    </row>
    <row r="249">
      <c r="I249" s="3"/>
      <c r="J249" s="3"/>
    </row>
    <row r="250">
      <c r="I250" s="3"/>
      <c r="J250" s="3"/>
    </row>
    <row r="251">
      <c r="I251" s="3"/>
      <c r="J251" s="3"/>
    </row>
    <row r="252">
      <c r="I252" s="3"/>
      <c r="J252" s="3"/>
    </row>
    <row r="253">
      <c r="I253" s="3"/>
      <c r="J253" s="3"/>
    </row>
    <row r="254">
      <c r="I254" s="3"/>
      <c r="J254" s="3"/>
    </row>
    <row r="255">
      <c r="I255" s="3"/>
      <c r="J255" s="3"/>
    </row>
    <row r="256">
      <c r="I256" s="3"/>
      <c r="J256" s="3"/>
    </row>
    <row r="257">
      <c r="I257" s="3"/>
      <c r="J257" s="3"/>
    </row>
    <row r="258">
      <c r="I258" s="3"/>
      <c r="J258" s="3"/>
    </row>
    <row r="259">
      <c r="I259" s="3"/>
      <c r="J259" s="3"/>
    </row>
    <row r="260">
      <c r="I260" s="3"/>
      <c r="J260" s="3"/>
    </row>
    <row r="261">
      <c r="I261" s="3"/>
      <c r="J261" s="3"/>
    </row>
    <row r="262">
      <c r="I262" s="3"/>
      <c r="J262" s="3"/>
    </row>
    <row r="263">
      <c r="I263" s="3"/>
      <c r="J263" s="3"/>
    </row>
    <row r="264">
      <c r="I264" s="3"/>
      <c r="J264" s="3"/>
    </row>
    <row r="265">
      <c r="I265" s="3"/>
      <c r="J265" s="3"/>
    </row>
    <row r="266">
      <c r="I266" s="3"/>
      <c r="J266" s="3"/>
    </row>
    <row r="267">
      <c r="I267" s="3"/>
      <c r="J267" s="3"/>
    </row>
    <row r="268">
      <c r="I268" s="3"/>
      <c r="J268" s="3"/>
    </row>
    <row r="269">
      <c r="I269" s="3"/>
      <c r="J269" s="3"/>
    </row>
    <row r="270">
      <c r="I270" s="3"/>
      <c r="J270" s="3"/>
    </row>
    <row r="271">
      <c r="I271" s="3"/>
      <c r="J271" s="3"/>
    </row>
    <row r="272">
      <c r="I272" s="3"/>
      <c r="J272" s="3"/>
    </row>
    <row r="273">
      <c r="I273" s="3"/>
      <c r="J273" s="3"/>
    </row>
    <row r="274">
      <c r="I274" s="3"/>
      <c r="J274" s="3"/>
    </row>
    <row r="275">
      <c r="I275" s="3"/>
      <c r="J275" s="3"/>
    </row>
    <row r="276">
      <c r="I276" s="3"/>
      <c r="J276" s="3"/>
    </row>
    <row r="277">
      <c r="I277" s="3"/>
      <c r="J277" s="3"/>
    </row>
    <row r="278">
      <c r="I278" s="3"/>
      <c r="J278" s="3"/>
    </row>
    <row r="279">
      <c r="I279" s="3"/>
      <c r="J279" s="3"/>
    </row>
    <row r="280">
      <c r="I280" s="3"/>
      <c r="J280" s="3"/>
    </row>
    <row r="281">
      <c r="I281" s="3"/>
      <c r="J281" s="3"/>
    </row>
    <row r="282">
      <c r="I282" s="3"/>
      <c r="J282" s="3"/>
    </row>
    <row r="283">
      <c r="I283" s="3"/>
      <c r="J283" s="3"/>
    </row>
    <row r="284">
      <c r="I284" s="3"/>
      <c r="J284" s="3"/>
    </row>
    <row r="285">
      <c r="I285" s="3"/>
      <c r="J285" s="3"/>
    </row>
    <row r="286">
      <c r="I286" s="3"/>
      <c r="J286" s="3"/>
    </row>
    <row r="287">
      <c r="I287" s="3"/>
      <c r="J287" s="3"/>
    </row>
    <row r="288">
      <c r="I288" s="3"/>
      <c r="J288" s="3"/>
    </row>
    <row r="289">
      <c r="I289" s="3"/>
      <c r="J289" s="3"/>
    </row>
    <row r="290">
      <c r="I290" s="3"/>
      <c r="J290" s="3"/>
    </row>
    <row r="291">
      <c r="I291" s="3"/>
      <c r="J291" s="3"/>
    </row>
    <row r="292">
      <c r="I292" s="3"/>
      <c r="J292" s="3"/>
    </row>
    <row r="293">
      <c r="I293" s="3"/>
      <c r="J293" s="3"/>
    </row>
    <row r="294">
      <c r="I294" s="3"/>
      <c r="J294" s="3"/>
    </row>
    <row r="295">
      <c r="I295" s="3"/>
      <c r="J295" s="3"/>
    </row>
    <row r="296">
      <c r="I296" s="3"/>
      <c r="J296" s="3"/>
    </row>
    <row r="297">
      <c r="I297" s="3"/>
      <c r="J297" s="3"/>
    </row>
    <row r="298">
      <c r="I298" s="3"/>
      <c r="J298" s="3"/>
    </row>
    <row r="299">
      <c r="I299" s="3"/>
      <c r="J299" s="3"/>
    </row>
    <row r="300">
      <c r="I300" s="3"/>
      <c r="J300" s="3"/>
    </row>
    <row r="301">
      <c r="I301" s="3"/>
      <c r="J301" s="3"/>
    </row>
    <row r="302">
      <c r="I302" s="3"/>
      <c r="J302" s="3"/>
    </row>
    <row r="303">
      <c r="I303" s="3"/>
      <c r="J303" s="3"/>
    </row>
    <row r="304">
      <c r="I304" s="3"/>
      <c r="J304" s="3"/>
    </row>
    <row r="305">
      <c r="I305" s="3"/>
      <c r="J305" s="3"/>
    </row>
    <row r="306">
      <c r="I306" s="3"/>
      <c r="J306" s="3"/>
    </row>
    <row r="307">
      <c r="I307" s="3"/>
      <c r="J307" s="3"/>
    </row>
    <row r="308">
      <c r="I308" s="3"/>
      <c r="J308" s="3"/>
    </row>
    <row r="309">
      <c r="I309" s="3"/>
      <c r="J309" s="3"/>
    </row>
    <row r="310">
      <c r="I310" s="3"/>
      <c r="J310" s="3"/>
    </row>
    <row r="311">
      <c r="I311" s="3"/>
      <c r="J311" s="3"/>
    </row>
    <row r="312">
      <c r="I312" s="3"/>
      <c r="J312" s="3"/>
    </row>
    <row r="313">
      <c r="I313" s="3"/>
      <c r="J313" s="3"/>
    </row>
    <row r="314">
      <c r="I314" s="3"/>
      <c r="J314" s="3"/>
    </row>
    <row r="315">
      <c r="I315" s="3"/>
      <c r="J315" s="3"/>
    </row>
    <row r="316">
      <c r="I316" s="3"/>
      <c r="J316" s="3"/>
    </row>
    <row r="317">
      <c r="I317" s="3"/>
      <c r="J317" s="3"/>
    </row>
    <row r="318">
      <c r="I318" s="3"/>
      <c r="J318" s="3"/>
    </row>
    <row r="319">
      <c r="I319" s="3"/>
      <c r="J319" s="3"/>
    </row>
    <row r="320">
      <c r="I320" s="3"/>
      <c r="J320" s="3"/>
    </row>
    <row r="321">
      <c r="I321" s="3"/>
      <c r="J321" s="3"/>
    </row>
    <row r="322">
      <c r="I322" s="3"/>
      <c r="J322" s="3"/>
    </row>
    <row r="323">
      <c r="I323" s="3"/>
      <c r="J323" s="3"/>
    </row>
    <row r="324">
      <c r="I324" s="3"/>
      <c r="J324" s="3"/>
    </row>
    <row r="325">
      <c r="I325" s="3"/>
      <c r="J325" s="3"/>
    </row>
    <row r="326">
      <c r="I326" s="3"/>
      <c r="J326" s="3"/>
    </row>
    <row r="327">
      <c r="I327" s="3"/>
      <c r="J327" s="3"/>
    </row>
    <row r="328">
      <c r="I328" s="3"/>
      <c r="J328" s="3"/>
    </row>
    <row r="329">
      <c r="I329" s="3"/>
      <c r="J329" s="3"/>
    </row>
    <row r="330">
      <c r="I330" s="3"/>
      <c r="J330" s="3"/>
    </row>
    <row r="331">
      <c r="I331" s="3"/>
      <c r="J331" s="3"/>
    </row>
    <row r="332">
      <c r="I332" s="3"/>
      <c r="J332" s="3"/>
    </row>
    <row r="333">
      <c r="I333" s="3"/>
      <c r="J333" s="3"/>
    </row>
    <row r="334">
      <c r="I334" s="3"/>
      <c r="J334" s="3"/>
    </row>
    <row r="335">
      <c r="I335" s="3"/>
      <c r="J335" s="3"/>
    </row>
    <row r="336">
      <c r="I336" s="3"/>
      <c r="J336" s="3"/>
    </row>
    <row r="337">
      <c r="I337" s="3"/>
      <c r="J337" s="3"/>
    </row>
    <row r="338">
      <c r="I338" s="3"/>
      <c r="J338" s="3"/>
    </row>
    <row r="339">
      <c r="I339" s="3"/>
      <c r="J339" s="3"/>
    </row>
    <row r="340">
      <c r="I340" s="3"/>
      <c r="J340" s="3"/>
    </row>
    <row r="341">
      <c r="I341" s="3"/>
      <c r="J341" s="3"/>
    </row>
    <row r="342">
      <c r="I342" s="3"/>
      <c r="J342" s="3"/>
    </row>
    <row r="343">
      <c r="I343" s="3"/>
      <c r="J343" s="3"/>
    </row>
    <row r="344">
      <c r="I344" s="3"/>
      <c r="J344" s="3"/>
    </row>
    <row r="345">
      <c r="I345" s="3"/>
      <c r="J345" s="3"/>
    </row>
    <row r="346">
      <c r="I346" s="3"/>
      <c r="J346" s="3"/>
    </row>
    <row r="347">
      <c r="I347" s="3"/>
      <c r="J347" s="3"/>
    </row>
    <row r="348">
      <c r="I348" s="3"/>
      <c r="J348" s="3"/>
    </row>
    <row r="349">
      <c r="I349" s="3"/>
      <c r="J349" s="3"/>
    </row>
    <row r="350">
      <c r="I350" s="3"/>
      <c r="J350" s="3"/>
    </row>
    <row r="351">
      <c r="I351" s="3"/>
      <c r="J351" s="3"/>
    </row>
    <row r="352">
      <c r="I352" s="3"/>
      <c r="J352" s="3"/>
    </row>
    <row r="353">
      <c r="I353" s="3"/>
      <c r="J353" s="3"/>
    </row>
    <row r="354">
      <c r="I354" s="3"/>
      <c r="J354" s="3"/>
    </row>
    <row r="355">
      <c r="I355" s="3"/>
      <c r="J355" s="3"/>
    </row>
    <row r="356">
      <c r="I356" s="3"/>
      <c r="J356" s="3"/>
    </row>
    <row r="357">
      <c r="I357" s="3"/>
      <c r="J357" s="3"/>
    </row>
    <row r="358">
      <c r="I358" s="3"/>
      <c r="J358" s="3"/>
    </row>
    <row r="359">
      <c r="I359" s="3"/>
      <c r="J359" s="3"/>
    </row>
    <row r="360">
      <c r="I360" s="3"/>
      <c r="J360" s="3"/>
    </row>
    <row r="361">
      <c r="I361" s="3"/>
      <c r="J361" s="3"/>
    </row>
    <row r="362">
      <c r="I362" s="3"/>
      <c r="J362" s="3"/>
    </row>
    <row r="363">
      <c r="I363" s="3"/>
      <c r="J363" s="3"/>
    </row>
    <row r="364">
      <c r="I364" s="3"/>
      <c r="J364" s="3"/>
    </row>
    <row r="365">
      <c r="I365" s="3"/>
      <c r="J365" s="3"/>
    </row>
    <row r="366">
      <c r="I366" s="3"/>
      <c r="J366" s="3"/>
    </row>
    <row r="367">
      <c r="I367" s="3"/>
      <c r="J367" s="3"/>
    </row>
    <row r="368">
      <c r="I368" s="3"/>
      <c r="J368" s="3"/>
    </row>
    <row r="369">
      <c r="I369" s="3"/>
      <c r="J369" s="3"/>
    </row>
    <row r="370">
      <c r="I370" s="3"/>
      <c r="J370" s="3"/>
    </row>
    <row r="371">
      <c r="I371" s="3"/>
      <c r="J371" s="3"/>
    </row>
    <row r="372">
      <c r="I372" s="3"/>
      <c r="J372" s="3"/>
    </row>
    <row r="373">
      <c r="I373" s="3"/>
      <c r="J373" s="3"/>
    </row>
    <row r="374">
      <c r="I374" s="3"/>
      <c r="J374" s="3"/>
    </row>
    <row r="375">
      <c r="I375" s="3"/>
      <c r="J375" s="3"/>
    </row>
    <row r="376">
      <c r="I376" s="3"/>
      <c r="J376" s="3"/>
    </row>
    <row r="377">
      <c r="I377" s="3"/>
      <c r="J377" s="3"/>
    </row>
    <row r="378">
      <c r="I378" s="3"/>
      <c r="J378" s="3"/>
    </row>
    <row r="379">
      <c r="I379" s="3"/>
      <c r="J379" s="3"/>
    </row>
    <row r="380">
      <c r="I380" s="3"/>
      <c r="J380" s="3"/>
    </row>
    <row r="381">
      <c r="I381" s="3"/>
      <c r="J381" s="3"/>
    </row>
    <row r="382">
      <c r="I382" s="3"/>
      <c r="J382" s="3"/>
    </row>
    <row r="383">
      <c r="I383" s="3"/>
      <c r="J383" s="3"/>
    </row>
    <row r="384">
      <c r="I384" s="3"/>
      <c r="J384" s="3"/>
    </row>
    <row r="385">
      <c r="I385" s="3"/>
      <c r="J385" s="3"/>
    </row>
    <row r="386">
      <c r="I386" s="3"/>
      <c r="J386" s="3"/>
    </row>
    <row r="387">
      <c r="I387" s="3"/>
      <c r="J387" s="3"/>
    </row>
    <row r="388">
      <c r="I388" s="3"/>
      <c r="J388" s="3"/>
    </row>
    <row r="389">
      <c r="I389" s="3"/>
      <c r="J389" s="3"/>
    </row>
    <row r="390">
      <c r="I390" s="3"/>
      <c r="J390" s="3"/>
    </row>
    <row r="391">
      <c r="I391" s="3"/>
      <c r="J391" s="3"/>
    </row>
    <row r="392">
      <c r="I392" s="3"/>
      <c r="J392" s="3"/>
    </row>
    <row r="393">
      <c r="I393" s="3"/>
      <c r="J393" s="3"/>
    </row>
    <row r="394">
      <c r="I394" s="3"/>
      <c r="J394" s="3"/>
    </row>
    <row r="395">
      <c r="I395" s="3"/>
      <c r="J395" s="3"/>
    </row>
    <row r="396">
      <c r="I396" s="3"/>
      <c r="J396" s="3"/>
    </row>
    <row r="397">
      <c r="I397" s="3"/>
      <c r="J397" s="3"/>
    </row>
    <row r="398">
      <c r="I398" s="3"/>
      <c r="J398" s="3"/>
    </row>
    <row r="399">
      <c r="I399" s="3"/>
      <c r="J399" s="3"/>
    </row>
    <row r="400">
      <c r="I400" s="3"/>
      <c r="J400" s="3"/>
    </row>
    <row r="401">
      <c r="I401" s="3"/>
      <c r="J401" s="3"/>
    </row>
    <row r="402">
      <c r="I402" s="3"/>
      <c r="J402" s="3"/>
    </row>
    <row r="403">
      <c r="I403" s="3"/>
      <c r="J403" s="3"/>
    </row>
    <row r="404">
      <c r="I404" s="3"/>
      <c r="J404" s="3"/>
    </row>
    <row r="405">
      <c r="I405" s="3"/>
      <c r="J405" s="3"/>
    </row>
    <row r="406">
      <c r="I406" s="3"/>
      <c r="J406" s="3"/>
    </row>
    <row r="407">
      <c r="I407" s="3"/>
      <c r="J407" s="3"/>
    </row>
    <row r="408">
      <c r="I408" s="3"/>
      <c r="J408" s="3"/>
    </row>
    <row r="409">
      <c r="I409" s="3"/>
      <c r="J409" s="3"/>
    </row>
    <row r="410">
      <c r="I410" s="3"/>
      <c r="J410" s="3"/>
    </row>
    <row r="411">
      <c r="I411" s="3"/>
      <c r="J411" s="3"/>
    </row>
    <row r="412">
      <c r="I412" s="3"/>
      <c r="J412" s="3"/>
    </row>
    <row r="413">
      <c r="I413" s="3"/>
      <c r="J413" s="3"/>
    </row>
    <row r="414">
      <c r="I414" s="3"/>
      <c r="J414" s="3"/>
    </row>
    <row r="415">
      <c r="I415" s="3"/>
      <c r="J415" s="3"/>
    </row>
    <row r="416">
      <c r="I416" s="3"/>
      <c r="J416" s="3"/>
    </row>
    <row r="417">
      <c r="I417" s="3"/>
      <c r="J417" s="3"/>
    </row>
    <row r="418">
      <c r="I418" s="3"/>
      <c r="J418" s="3"/>
    </row>
    <row r="419">
      <c r="I419" s="3"/>
      <c r="J419" s="3"/>
    </row>
    <row r="420">
      <c r="I420" s="3"/>
      <c r="J420" s="3"/>
    </row>
    <row r="421">
      <c r="I421" s="3"/>
      <c r="J421" s="3"/>
    </row>
    <row r="422">
      <c r="I422" s="3"/>
      <c r="J422" s="3"/>
    </row>
    <row r="423">
      <c r="I423" s="3"/>
      <c r="J423" s="3"/>
    </row>
    <row r="424">
      <c r="I424" s="3"/>
      <c r="J424" s="3"/>
    </row>
    <row r="425">
      <c r="I425" s="3"/>
      <c r="J425" s="3"/>
    </row>
    <row r="426">
      <c r="I426" s="3"/>
      <c r="J426" s="3"/>
    </row>
    <row r="427">
      <c r="I427" s="3"/>
      <c r="J427" s="3"/>
    </row>
    <row r="428">
      <c r="I428" s="3"/>
      <c r="J428" s="3"/>
    </row>
    <row r="429">
      <c r="I429" s="3"/>
      <c r="J429" s="3"/>
    </row>
    <row r="430">
      <c r="I430" s="3"/>
      <c r="J430" s="3"/>
    </row>
    <row r="431">
      <c r="I431" s="3"/>
      <c r="J431" s="3"/>
    </row>
    <row r="432">
      <c r="I432" s="3"/>
      <c r="J432" s="3"/>
    </row>
    <row r="433">
      <c r="I433" s="3"/>
      <c r="J433" s="3"/>
    </row>
    <row r="434">
      <c r="I434" s="3"/>
      <c r="J434" s="3"/>
    </row>
    <row r="435">
      <c r="I435" s="3"/>
      <c r="J435" s="3"/>
    </row>
    <row r="436">
      <c r="I436" s="3"/>
      <c r="J436" s="3"/>
    </row>
    <row r="437">
      <c r="I437" s="3"/>
      <c r="J437" s="3"/>
    </row>
    <row r="438">
      <c r="I438" s="3"/>
      <c r="J438" s="3"/>
    </row>
    <row r="439">
      <c r="I439" s="3"/>
      <c r="J439" s="3"/>
    </row>
    <row r="440">
      <c r="I440" s="3"/>
      <c r="J440" s="3"/>
    </row>
    <row r="441">
      <c r="I441" s="3"/>
      <c r="J441" s="3"/>
    </row>
    <row r="442">
      <c r="I442" s="3"/>
      <c r="J442" s="3"/>
    </row>
    <row r="443">
      <c r="I443" s="3"/>
      <c r="J443" s="3"/>
    </row>
    <row r="444">
      <c r="I444" s="3"/>
      <c r="J444" s="3"/>
    </row>
    <row r="445">
      <c r="I445" s="3"/>
      <c r="J445" s="3"/>
    </row>
    <row r="446">
      <c r="I446" s="3"/>
      <c r="J446" s="3"/>
    </row>
    <row r="447">
      <c r="I447" s="3"/>
      <c r="J447" s="3"/>
    </row>
    <row r="448">
      <c r="I448" s="3"/>
      <c r="J448" s="3"/>
    </row>
    <row r="449">
      <c r="I449" s="3"/>
      <c r="J449" s="3"/>
    </row>
    <row r="450">
      <c r="I450" s="3"/>
      <c r="J450" s="3"/>
    </row>
    <row r="451">
      <c r="I451" s="3"/>
      <c r="J451" s="3"/>
    </row>
    <row r="452">
      <c r="I452" s="3"/>
      <c r="J452" s="3"/>
    </row>
    <row r="453">
      <c r="I453" s="3"/>
      <c r="J453" s="3"/>
    </row>
    <row r="454">
      <c r="I454" s="3"/>
      <c r="J454" s="3"/>
    </row>
    <row r="455">
      <c r="I455" s="3"/>
      <c r="J455" s="3"/>
    </row>
    <row r="456">
      <c r="I456" s="3"/>
      <c r="J456" s="3"/>
    </row>
    <row r="457">
      <c r="I457" s="3"/>
      <c r="J457" s="3"/>
    </row>
    <row r="458">
      <c r="I458" s="3"/>
      <c r="J458" s="3"/>
    </row>
    <row r="459">
      <c r="I459" s="3"/>
      <c r="J459" s="3"/>
    </row>
    <row r="460">
      <c r="I460" s="3"/>
      <c r="J460" s="3"/>
    </row>
    <row r="461">
      <c r="I461" s="3"/>
      <c r="J461" s="3"/>
    </row>
    <row r="462">
      <c r="I462" s="3"/>
      <c r="J462" s="3"/>
    </row>
    <row r="463">
      <c r="I463" s="3"/>
      <c r="J463" s="3"/>
    </row>
    <row r="464">
      <c r="I464" s="3"/>
      <c r="J464" s="3"/>
    </row>
    <row r="465">
      <c r="I465" s="3"/>
      <c r="J465" s="3"/>
    </row>
    <row r="466">
      <c r="I466" s="3"/>
      <c r="J466" s="3"/>
    </row>
    <row r="467">
      <c r="I467" s="3"/>
      <c r="J467" s="3"/>
    </row>
    <row r="468">
      <c r="I468" s="3"/>
      <c r="J468" s="3"/>
    </row>
    <row r="469">
      <c r="I469" s="3"/>
      <c r="J469" s="3"/>
    </row>
    <row r="470">
      <c r="I470" s="3"/>
      <c r="J470" s="3"/>
    </row>
    <row r="471">
      <c r="I471" s="3"/>
      <c r="J471" s="3"/>
    </row>
    <row r="472">
      <c r="I472" s="3"/>
      <c r="J472" s="3"/>
    </row>
    <row r="473">
      <c r="I473" s="3"/>
      <c r="J473" s="3"/>
    </row>
    <row r="474">
      <c r="I474" s="3"/>
      <c r="J474" s="3"/>
    </row>
    <row r="475">
      <c r="I475" s="3"/>
      <c r="J475" s="3"/>
    </row>
    <row r="476">
      <c r="I476" s="3"/>
      <c r="J476" s="3"/>
    </row>
    <row r="477">
      <c r="I477" s="3"/>
      <c r="J477" s="3"/>
    </row>
    <row r="478">
      <c r="I478" s="3"/>
      <c r="J478" s="3"/>
    </row>
    <row r="479">
      <c r="I479" s="3"/>
      <c r="J479" s="3"/>
    </row>
    <row r="480">
      <c r="I480" s="3"/>
      <c r="J480" s="3"/>
    </row>
    <row r="481">
      <c r="I481" s="3"/>
      <c r="J481" s="3"/>
    </row>
    <row r="482">
      <c r="I482" s="3"/>
      <c r="J482" s="3"/>
    </row>
    <row r="483">
      <c r="I483" s="3"/>
      <c r="J483" s="3"/>
    </row>
    <row r="484">
      <c r="I484" s="3"/>
      <c r="J484" s="3"/>
    </row>
    <row r="485">
      <c r="I485" s="3"/>
      <c r="J485" s="3"/>
    </row>
    <row r="486">
      <c r="I486" s="3"/>
      <c r="J486" s="3"/>
    </row>
    <row r="487">
      <c r="I487" s="3"/>
      <c r="J487" s="3"/>
    </row>
    <row r="488">
      <c r="I488" s="3"/>
      <c r="J488" s="3"/>
    </row>
    <row r="489">
      <c r="I489" s="3"/>
      <c r="J489" s="3"/>
    </row>
    <row r="490">
      <c r="I490" s="3"/>
      <c r="J490" s="3"/>
    </row>
    <row r="491">
      <c r="I491" s="3"/>
      <c r="J491" s="3"/>
    </row>
    <row r="492">
      <c r="I492" s="3"/>
      <c r="J492" s="3"/>
    </row>
    <row r="493">
      <c r="I493" s="3"/>
      <c r="J493" s="3"/>
    </row>
    <row r="494">
      <c r="I494" s="3"/>
      <c r="J494" s="3"/>
    </row>
    <row r="495">
      <c r="I495" s="3"/>
      <c r="J495" s="3"/>
    </row>
    <row r="496">
      <c r="I496" s="3"/>
      <c r="J496" s="3"/>
    </row>
    <row r="497">
      <c r="I497" s="3"/>
      <c r="J497" s="3"/>
    </row>
    <row r="498">
      <c r="I498" s="3"/>
      <c r="J498" s="3"/>
    </row>
    <row r="499">
      <c r="I499" s="3"/>
      <c r="J499" s="3"/>
    </row>
    <row r="500">
      <c r="I500" s="3"/>
      <c r="J500" s="3"/>
    </row>
    <row r="501">
      <c r="I501" s="3"/>
      <c r="J501" s="3"/>
    </row>
    <row r="502">
      <c r="I502" s="3"/>
      <c r="J502" s="3"/>
    </row>
    <row r="503">
      <c r="I503" s="3"/>
      <c r="J503" s="3"/>
    </row>
    <row r="504">
      <c r="I504" s="3"/>
      <c r="J504" s="3"/>
    </row>
    <row r="505">
      <c r="I505" s="3"/>
      <c r="J505" s="3"/>
    </row>
    <row r="506">
      <c r="I506" s="3"/>
      <c r="J506" s="3"/>
    </row>
    <row r="507">
      <c r="I507" s="3"/>
      <c r="J507" s="3"/>
    </row>
    <row r="508">
      <c r="I508" s="3"/>
      <c r="J508" s="3"/>
    </row>
    <row r="509">
      <c r="I509" s="3"/>
      <c r="J509" s="3"/>
    </row>
    <row r="510">
      <c r="I510" s="3"/>
      <c r="J510" s="3"/>
    </row>
    <row r="511">
      <c r="I511" s="3"/>
      <c r="J511" s="3"/>
    </row>
    <row r="512">
      <c r="I512" s="3"/>
      <c r="J512" s="3"/>
    </row>
    <row r="513">
      <c r="I513" s="3"/>
      <c r="J513" s="3"/>
    </row>
    <row r="514">
      <c r="I514" s="3"/>
      <c r="J514" s="3"/>
    </row>
    <row r="515">
      <c r="I515" s="3"/>
      <c r="J515" s="3"/>
    </row>
    <row r="516">
      <c r="I516" s="3"/>
      <c r="J516" s="3"/>
    </row>
    <row r="517">
      <c r="I517" s="3"/>
      <c r="J517" s="3"/>
    </row>
    <row r="518">
      <c r="I518" s="3"/>
      <c r="J518" s="3"/>
    </row>
    <row r="519">
      <c r="I519" s="3"/>
      <c r="J519" s="3"/>
    </row>
    <row r="520">
      <c r="I520" s="3"/>
      <c r="J520" s="3"/>
    </row>
    <row r="521">
      <c r="I521" s="3"/>
      <c r="J521" s="3"/>
    </row>
    <row r="522">
      <c r="I522" s="3"/>
      <c r="J522" s="3"/>
    </row>
    <row r="523">
      <c r="I523" s="3"/>
      <c r="J523" s="3"/>
    </row>
    <row r="524">
      <c r="I524" s="3"/>
      <c r="J524" s="3"/>
    </row>
    <row r="525">
      <c r="I525" s="3"/>
      <c r="J525" s="3"/>
    </row>
    <row r="526">
      <c r="I526" s="3"/>
      <c r="J526" s="3"/>
    </row>
    <row r="527">
      <c r="I527" s="3"/>
      <c r="J527" s="3"/>
    </row>
    <row r="528">
      <c r="I528" s="3"/>
      <c r="J528" s="3"/>
    </row>
    <row r="529">
      <c r="I529" s="3"/>
      <c r="J529" s="3"/>
    </row>
    <row r="530">
      <c r="I530" s="3"/>
      <c r="J530" s="3"/>
    </row>
    <row r="531">
      <c r="I531" s="3"/>
      <c r="J531" s="3"/>
    </row>
    <row r="532">
      <c r="I532" s="3"/>
      <c r="J532" s="3"/>
    </row>
    <row r="533">
      <c r="I533" s="3"/>
      <c r="J533" s="3"/>
    </row>
    <row r="534">
      <c r="I534" s="3"/>
      <c r="J534" s="3"/>
    </row>
    <row r="535">
      <c r="I535" s="3"/>
      <c r="J535" s="3"/>
    </row>
    <row r="536">
      <c r="I536" s="3"/>
      <c r="J536" s="3"/>
    </row>
    <row r="537">
      <c r="I537" s="3"/>
      <c r="J537" s="3"/>
    </row>
    <row r="538">
      <c r="I538" s="3"/>
      <c r="J538" s="3"/>
    </row>
    <row r="539">
      <c r="I539" s="3"/>
      <c r="J539" s="3"/>
    </row>
    <row r="540">
      <c r="I540" s="3"/>
      <c r="J540" s="3"/>
    </row>
    <row r="541">
      <c r="I541" s="3"/>
      <c r="J541" s="3"/>
    </row>
    <row r="542">
      <c r="I542" s="3"/>
      <c r="J542" s="3"/>
    </row>
    <row r="543">
      <c r="I543" s="3"/>
      <c r="J543" s="3"/>
    </row>
    <row r="544">
      <c r="I544" s="3"/>
      <c r="J544" s="3"/>
    </row>
    <row r="545">
      <c r="I545" s="3"/>
      <c r="J545" s="3"/>
    </row>
    <row r="546">
      <c r="I546" s="3"/>
      <c r="J546" s="3"/>
    </row>
    <row r="547">
      <c r="I547" s="3"/>
      <c r="J547" s="3"/>
    </row>
    <row r="548">
      <c r="I548" s="3"/>
      <c r="J548" s="3"/>
    </row>
    <row r="549">
      <c r="I549" s="3"/>
      <c r="J549" s="3"/>
    </row>
    <row r="550">
      <c r="I550" s="3"/>
      <c r="J550" s="3"/>
    </row>
    <row r="551">
      <c r="I551" s="3"/>
      <c r="J551" s="3"/>
    </row>
    <row r="552">
      <c r="I552" s="3"/>
      <c r="J552" s="3"/>
    </row>
    <row r="553">
      <c r="I553" s="3"/>
      <c r="J553" s="3"/>
    </row>
    <row r="554">
      <c r="I554" s="3"/>
      <c r="J554" s="3"/>
    </row>
    <row r="555">
      <c r="I555" s="3"/>
      <c r="J555" s="3"/>
    </row>
    <row r="556">
      <c r="I556" s="3"/>
      <c r="J556" s="3"/>
    </row>
    <row r="557">
      <c r="I557" s="3"/>
      <c r="J557" s="3"/>
    </row>
    <row r="558">
      <c r="I558" s="3"/>
      <c r="J558" s="3"/>
    </row>
    <row r="559">
      <c r="I559" s="3"/>
      <c r="J559" s="3"/>
    </row>
    <row r="560">
      <c r="I560" s="3"/>
      <c r="J560" s="3"/>
    </row>
    <row r="561">
      <c r="I561" s="3"/>
      <c r="J561" s="3"/>
    </row>
    <row r="562">
      <c r="I562" s="3"/>
      <c r="J562" s="3"/>
    </row>
    <row r="563">
      <c r="I563" s="3"/>
      <c r="J563" s="3"/>
    </row>
    <row r="564">
      <c r="I564" s="3"/>
      <c r="J564" s="3"/>
    </row>
    <row r="565">
      <c r="I565" s="3"/>
      <c r="J565" s="3"/>
    </row>
    <row r="566">
      <c r="I566" s="3"/>
      <c r="J566" s="3"/>
    </row>
    <row r="567">
      <c r="I567" s="3"/>
      <c r="J567" s="3"/>
    </row>
    <row r="568">
      <c r="I568" s="3"/>
      <c r="J568" s="3"/>
    </row>
    <row r="569">
      <c r="I569" s="3"/>
      <c r="J569" s="3"/>
    </row>
    <row r="570">
      <c r="I570" s="3"/>
      <c r="J570" s="3"/>
    </row>
    <row r="571">
      <c r="I571" s="3"/>
      <c r="J571" s="3"/>
    </row>
    <row r="572">
      <c r="I572" s="3"/>
      <c r="J572" s="3"/>
    </row>
    <row r="573">
      <c r="I573" s="3"/>
      <c r="J573" s="3"/>
    </row>
    <row r="574">
      <c r="I574" s="3"/>
      <c r="J574" s="3"/>
    </row>
    <row r="575">
      <c r="I575" s="3"/>
      <c r="J575" s="3"/>
    </row>
    <row r="576">
      <c r="I576" s="3"/>
      <c r="J576" s="3"/>
    </row>
    <row r="577">
      <c r="I577" s="3"/>
      <c r="J577" s="3"/>
    </row>
    <row r="578">
      <c r="I578" s="3"/>
      <c r="J578" s="3"/>
    </row>
    <row r="579">
      <c r="I579" s="3"/>
      <c r="J579" s="3"/>
    </row>
    <row r="580">
      <c r="I580" s="3"/>
      <c r="J580" s="3"/>
    </row>
    <row r="581">
      <c r="I581" s="3"/>
      <c r="J581" s="3"/>
    </row>
    <row r="582">
      <c r="I582" s="3"/>
      <c r="J582" s="3"/>
    </row>
    <row r="583">
      <c r="I583" s="3"/>
      <c r="J583" s="3"/>
    </row>
    <row r="584">
      <c r="I584" s="3"/>
      <c r="J584" s="3"/>
    </row>
    <row r="585">
      <c r="I585" s="3"/>
      <c r="J585" s="3"/>
    </row>
    <row r="586">
      <c r="I586" s="3"/>
      <c r="J586" s="3"/>
    </row>
    <row r="587">
      <c r="I587" s="3"/>
      <c r="J587" s="3"/>
    </row>
    <row r="588">
      <c r="I588" s="3"/>
      <c r="J588" s="3"/>
    </row>
    <row r="589">
      <c r="I589" s="3"/>
      <c r="J589" s="3"/>
    </row>
    <row r="590">
      <c r="I590" s="3"/>
      <c r="J590" s="3"/>
    </row>
    <row r="591">
      <c r="I591" s="3"/>
      <c r="J591" s="3"/>
    </row>
    <row r="592">
      <c r="I592" s="3"/>
      <c r="J592" s="3"/>
    </row>
    <row r="593">
      <c r="I593" s="3"/>
      <c r="J593" s="3"/>
    </row>
    <row r="594">
      <c r="I594" s="3"/>
      <c r="J594" s="3"/>
    </row>
    <row r="595">
      <c r="I595" s="3"/>
      <c r="J595" s="3"/>
    </row>
    <row r="596">
      <c r="I596" s="3"/>
      <c r="J596" s="3"/>
    </row>
    <row r="597">
      <c r="I597" s="3"/>
      <c r="J597" s="3"/>
    </row>
    <row r="598">
      <c r="I598" s="3"/>
      <c r="J598" s="3"/>
    </row>
    <row r="599">
      <c r="I599" s="3"/>
      <c r="J599" s="3"/>
    </row>
    <row r="600">
      <c r="I600" s="3"/>
      <c r="J600" s="3"/>
    </row>
    <row r="601">
      <c r="I601" s="3"/>
      <c r="J601" s="3"/>
    </row>
    <row r="602">
      <c r="I602" s="3"/>
      <c r="J602" s="3"/>
    </row>
    <row r="603">
      <c r="I603" s="3"/>
      <c r="J603" s="3"/>
    </row>
    <row r="604">
      <c r="I604" s="3"/>
      <c r="J604" s="3"/>
    </row>
    <row r="605">
      <c r="I605" s="3"/>
      <c r="J605" s="3"/>
    </row>
    <row r="606">
      <c r="I606" s="3"/>
      <c r="J606" s="3"/>
    </row>
    <row r="607">
      <c r="I607" s="3"/>
      <c r="J607" s="3"/>
    </row>
    <row r="608">
      <c r="I608" s="3"/>
      <c r="J608" s="3"/>
    </row>
    <row r="609">
      <c r="I609" s="3"/>
      <c r="J609" s="3"/>
    </row>
    <row r="610">
      <c r="I610" s="3"/>
      <c r="J610" s="3"/>
    </row>
    <row r="611">
      <c r="I611" s="3"/>
      <c r="J611" s="3"/>
    </row>
    <row r="612">
      <c r="I612" s="3"/>
      <c r="J612" s="3"/>
    </row>
    <row r="613">
      <c r="I613" s="3"/>
      <c r="J613" s="3"/>
    </row>
    <row r="614">
      <c r="I614" s="3"/>
      <c r="J614" s="3"/>
    </row>
    <row r="615">
      <c r="I615" s="3"/>
      <c r="J615" s="3"/>
    </row>
    <row r="616">
      <c r="I616" s="3"/>
      <c r="J616" s="3"/>
    </row>
    <row r="617">
      <c r="I617" s="3"/>
      <c r="J617" s="3"/>
    </row>
    <row r="618">
      <c r="I618" s="3"/>
      <c r="J618" s="3"/>
    </row>
    <row r="619">
      <c r="I619" s="3"/>
      <c r="J619" s="3"/>
    </row>
    <row r="620">
      <c r="I620" s="3"/>
      <c r="J620" s="3"/>
    </row>
    <row r="621">
      <c r="I621" s="3"/>
      <c r="J621" s="3"/>
    </row>
    <row r="622">
      <c r="I622" s="3"/>
      <c r="J622" s="3"/>
    </row>
    <row r="623">
      <c r="I623" s="3"/>
      <c r="J623" s="3"/>
    </row>
    <row r="624">
      <c r="I624" s="3"/>
      <c r="J624" s="3"/>
    </row>
    <row r="625">
      <c r="I625" s="3"/>
      <c r="J625" s="3"/>
    </row>
    <row r="626">
      <c r="I626" s="3"/>
      <c r="J626" s="3"/>
    </row>
    <row r="627">
      <c r="I627" s="3"/>
      <c r="J627" s="3"/>
    </row>
    <row r="628">
      <c r="I628" s="3"/>
      <c r="J628" s="3"/>
    </row>
    <row r="629">
      <c r="I629" s="3"/>
      <c r="J629" s="3"/>
    </row>
    <row r="630">
      <c r="I630" s="3"/>
      <c r="J630" s="3"/>
    </row>
    <row r="631">
      <c r="I631" s="3"/>
      <c r="J631" s="3"/>
    </row>
    <row r="632">
      <c r="I632" s="3"/>
      <c r="J632" s="3"/>
    </row>
    <row r="633">
      <c r="I633" s="3"/>
      <c r="J633" s="3"/>
    </row>
    <row r="634">
      <c r="I634" s="3"/>
      <c r="J634" s="3"/>
    </row>
    <row r="635">
      <c r="I635" s="3"/>
      <c r="J635" s="3"/>
    </row>
    <row r="636">
      <c r="I636" s="3"/>
      <c r="J636" s="3"/>
    </row>
    <row r="637">
      <c r="I637" s="3"/>
      <c r="J637" s="3"/>
    </row>
    <row r="638">
      <c r="I638" s="3"/>
      <c r="J638" s="3"/>
    </row>
    <row r="639">
      <c r="I639" s="3"/>
      <c r="J639" s="3"/>
    </row>
    <row r="640">
      <c r="I640" s="3"/>
      <c r="J640" s="3"/>
    </row>
    <row r="641">
      <c r="I641" s="3"/>
      <c r="J641" s="3"/>
    </row>
    <row r="642">
      <c r="I642" s="3"/>
      <c r="J642" s="3"/>
    </row>
    <row r="643">
      <c r="I643" s="3"/>
      <c r="J643" s="3"/>
    </row>
    <row r="644">
      <c r="I644" s="3"/>
      <c r="J644" s="3"/>
    </row>
    <row r="645">
      <c r="I645" s="3"/>
      <c r="J645" s="3"/>
    </row>
    <row r="646">
      <c r="I646" s="3"/>
      <c r="J646" s="3"/>
    </row>
    <row r="647">
      <c r="I647" s="3"/>
      <c r="J647" s="3"/>
    </row>
    <row r="648">
      <c r="I648" s="3"/>
      <c r="J648" s="3"/>
    </row>
    <row r="649">
      <c r="I649" s="3"/>
      <c r="J649" s="3"/>
    </row>
    <row r="650">
      <c r="I650" s="3"/>
      <c r="J650" s="3"/>
    </row>
    <row r="651">
      <c r="I651" s="3"/>
      <c r="J651" s="3"/>
    </row>
    <row r="652">
      <c r="I652" s="3"/>
      <c r="J652" s="3"/>
    </row>
    <row r="653">
      <c r="I653" s="3"/>
      <c r="J653" s="3"/>
    </row>
    <row r="654">
      <c r="I654" s="3"/>
      <c r="J654" s="3"/>
    </row>
    <row r="655">
      <c r="I655" s="3"/>
      <c r="J655" s="3"/>
    </row>
    <row r="656">
      <c r="I656" s="3"/>
      <c r="J656" s="3"/>
    </row>
    <row r="657">
      <c r="I657" s="3"/>
      <c r="J657" s="3"/>
    </row>
    <row r="658">
      <c r="I658" s="3"/>
      <c r="J658" s="3"/>
    </row>
    <row r="659">
      <c r="I659" s="3"/>
      <c r="J659" s="3"/>
    </row>
    <row r="660">
      <c r="I660" s="3"/>
      <c r="J660" s="3"/>
    </row>
    <row r="661">
      <c r="I661" s="3"/>
      <c r="J661" s="3"/>
    </row>
    <row r="662">
      <c r="I662" s="3"/>
      <c r="J662" s="3"/>
    </row>
    <row r="663">
      <c r="I663" s="3"/>
      <c r="J663" s="3"/>
    </row>
    <row r="664">
      <c r="I664" s="3"/>
      <c r="J664" s="3"/>
    </row>
    <row r="665">
      <c r="I665" s="3"/>
      <c r="J665" s="3"/>
    </row>
    <row r="666">
      <c r="I666" s="3"/>
      <c r="J666" s="3"/>
    </row>
    <row r="667">
      <c r="I667" s="3"/>
      <c r="J667" s="3"/>
    </row>
    <row r="668">
      <c r="I668" s="3"/>
      <c r="J668" s="3"/>
    </row>
    <row r="669">
      <c r="I669" s="3"/>
      <c r="J669" s="3"/>
    </row>
    <row r="670">
      <c r="I670" s="3"/>
      <c r="J670" s="3"/>
    </row>
    <row r="671">
      <c r="I671" s="3"/>
      <c r="J671" s="3"/>
    </row>
    <row r="672">
      <c r="I672" s="3"/>
      <c r="J672" s="3"/>
    </row>
    <row r="673">
      <c r="I673" s="3"/>
      <c r="J673" s="3"/>
    </row>
    <row r="674">
      <c r="I674" s="3"/>
      <c r="J674" s="3"/>
    </row>
    <row r="675">
      <c r="I675" s="3"/>
      <c r="J675" s="3"/>
    </row>
    <row r="676">
      <c r="I676" s="3"/>
      <c r="J676" s="3"/>
    </row>
    <row r="677">
      <c r="I677" s="3"/>
      <c r="J677" s="3"/>
    </row>
    <row r="678">
      <c r="I678" s="3"/>
      <c r="J678" s="3"/>
    </row>
    <row r="679">
      <c r="I679" s="3"/>
      <c r="J679" s="3"/>
    </row>
    <row r="680">
      <c r="I680" s="3"/>
      <c r="J680" s="3"/>
    </row>
    <row r="681">
      <c r="I681" s="3"/>
      <c r="J681" s="3"/>
    </row>
    <row r="682">
      <c r="I682" s="3"/>
      <c r="J682" s="3"/>
    </row>
    <row r="683">
      <c r="I683" s="3"/>
      <c r="J683" s="3"/>
    </row>
    <row r="684">
      <c r="I684" s="3"/>
      <c r="J684" s="3"/>
    </row>
    <row r="685">
      <c r="I685" s="3"/>
      <c r="J685" s="3"/>
    </row>
    <row r="686">
      <c r="I686" s="3"/>
      <c r="J686" s="3"/>
    </row>
    <row r="687">
      <c r="I687" s="3"/>
      <c r="J687" s="3"/>
    </row>
    <row r="688">
      <c r="I688" s="3"/>
      <c r="J688" s="3"/>
    </row>
    <row r="689">
      <c r="I689" s="3"/>
      <c r="J689" s="3"/>
    </row>
    <row r="690">
      <c r="I690" s="3"/>
      <c r="J690" s="3"/>
    </row>
    <row r="691">
      <c r="I691" s="3"/>
      <c r="J691" s="3"/>
    </row>
    <row r="692">
      <c r="I692" s="3"/>
      <c r="J692" s="3"/>
    </row>
    <row r="693">
      <c r="I693" s="3"/>
      <c r="J693" s="3"/>
    </row>
    <row r="694">
      <c r="I694" s="3"/>
      <c r="J694" s="3"/>
    </row>
    <row r="695">
      <c r="I695" s="3"/>
      <c r="J695" s="3"/>
    </row>
    <row r="696">
      <c r="I696" s="3"/>
      <c r="J696" s="3"/>
    </row>
    <row r="697">
      <c r="I697" s="3"/>
      <c r="J697" s="3"/>
    </row>
    <row r="698">
      <c r="I698" s="3"/>
      <c r="J698" s="3"/>
    </row>
    <row r="699">
      <c r="I699" s="3"/>
      <c r="J699" s="3"/>
    </row>
    <row r="700">
      <c r="I700" s="3"/>
      <c r="J700" s="3"/>
    </row>
    <row r="701">
      <c r="I701" s="3"/>
      <c r="J701" s="3"/>
    </row>
    <row r="702">
      <c r="I702" s="3"/>
      <c r="J702" s="3"/>
    </row>
    <row r="703">
      <c r="I703" s="3"/>
      <c r="J703" s="3"/>
    </row>
    <row r="704">
      <c r="I704" s="3"/>
      <c r="J704" s="3"/>
    </row>
    <row r="705">
      <c r="I705" s="3"/>
      <c r="J705" s="3"/>
    </row>
    <row r="706">
      <c r="I706" s="3"/>
      <c r="J706" s="3"/>
    </row>
    <row r="707">
      <c r="I707" s="3"/>
      <c r="J707" s="3"/>
    </row>
    <row r="708">
      <c r="I708" s="3"/>
      <c r="J708" s="3"/>
    </row>
    <row r="709">
      <c r="I709" s="3"/>
      <c r="J709" s="3"/>
    </row>
    <row r="710">
      <c r="I710" s="3"/>
      <c r="J710" s="3"/>
    </row>
    <row r="711">
      <c r="I711" s="3"/>
      <c r="J711" s="3"/>
    </row>
    <row r="712">
      <c r="I712" s="3"/>
      <c r="J712" s="3"/>
    </row>
    <row r="713">
      <c r="I713" s="3"/>
      <c r="J713" s="3"/>
    </row>
    <row r="714">
      <c r="I714" s="3"/>
      <c r="J714" s="3"/>
    </row>
    <row r="715">
      <c r="I715" s="3"/>
      <c r="J715" s="3"/>
    </row>
    <row r="716">
      <c r="I716" s="3"/>
      <c r="J716" s="3"/>
    </row>
    <row r="717">
      <c r="I717" s="3"/>
      <c r="J717" s="3"/>
    </row>
    <row r="718">
      <c r="I718" s="3"/>
      <c r="J718" s="3"/>
    </row>
    <row r="719">
      <c r="I719" s="3"/>
      <c r="J719" s="3"/>
    </row>
    <row r="720">
      <c r="I720" s="3"/>
      <c r="J720" s="3"/>
    </row>
    <row r="721">
      <c r="I721" s="3"/>
      <c r="J721" s="3"/>
    </row>
    <row r="722">
      <c r="I722" s="3"/>
      <c r="J722" s="3"/>
    </row>
    <row r="723">
      <c r="I723" s="3"/>
      <c r="J723" s="3"/>
    </row>
    <row r="724">
      <c r="I724" s="3"/>
      <c r="J724" s="3"/>
    </row>
    <row r="725">
      <c r="I725" s="3"/>
      <c r="J725" s="3"/>
    </row>
    <row r="726">
      <c r="I726" s="3"/>
      <c r="J726" s="3"/>
    </row>
    <row r="727">
      <c r="I727" s="3"/>
      <c r="J727" s="3"/>
    </row>
    <row r="728">
      <c r="I728" s="3"/>
      <c r="J728" s="3"/>
    </row>
    <row r="729">
      <c r="I729" s="3"/>
      <c r="J729" s="3"/>
    </row>
    <row r="730">
      <c r="I730" s="3"/>
      <c r="J730" s="3"/>
    </row>
    <row r="731">
      <c r="I731" s="3"/>
      <c r="J731" s="3"/>
    </row>
    <row r="732">
      <c r="I732" s="3"/>
      <c r="J732" s="3"/>
    </row>
    <row r="733">
      <c r="I733" s="3"/>
      <c r="J733" s="3"/>
    </row>
    <row r="734">
      <c r="I734" s="3"/>
      <c r="J734" s="3"/>
    </row>
    <row r="735">
      <c r="I735" s="3"/>
      <c r="J735" s="3"/>
    </row>
    <row r="736">
      <c r="I736" s="3"/>
      <c r="J736" s="3"/>
    </row>
    <row r="737">
      <c r="I737" s="3"/>
      <c r="J737" s="3"/>
    </row>
    <row r="738">
      <c r="I738" s="3"/>
      <c r="J738" s="3"/>
    </row>
    <row r="739">
      <c r="I739" s="3"/>
      <c r="J739" s="3"/>
    </row>
    <row r="740">
      <c r="I740" s="3"/>
      <c r="J740" s="3"/>
    </row>
    <row r="741">
      <c r="I741" s="3"/>
      <c r="J741" s="3"/>
    </row>
    <row r="742">
      <c r="I742" s="3"/>
      <c r="J742" s="3"/>
    </row>
    <row r="743">
      <c r="I743" s="3"/>
      <c r="J743" s="3"/>
    </row>
    <row r="744">
      <c r="I744" s="3"/>
      <c r="J744" s="3"/>
    </row>
    <row r="745">
      <c r="I745" s="3"/>
      <c r="J745" s="3"/>
    </row>
    <row r="746">
      <c r="I746" s="3"/>
      <c r="J746" s="3"/>
    </row>
    <row r="747">
      <c r="I747" s="3"/>
      <c r="J747" s="3"/>
    </row>
    <row r="748">
      <c r="I748" s="3"/>
      <c r="J748" s="3"/>
    </row>
    <row r="749">
      <c r="I749" s="3"/>
      <c r="J749" s="3"/>
    </row>
    <row r="750">
      <c r="I750" s="3"/>
      <c r="J750" s="3"/>
    </row>
    <row r="751">
      <c r="I751" s="3"/>
      <c r="J751" s="3"/>
    </row>
    <row r="752">
      <c r="I752" s="3"/>
      <c r="J752" s="3"/>
    </row>
    <row r="753">
      <c r="I753" s="3"/>
      <c r="J753" s="3"/>
    </row>
    <row r="754">
      <c r="I754" s="3"/>
      <c r="J754" s="3"/>
    </row>
    <row r="755">
      <c r="I755" s="3"/>
      <c r="J755" s="3"/>
    </row>
    <row r="756">
      <c r="I756" s="3"/>
      <c r="J756" s="3"/>
    </row>
    <row r="757">
      <c r="I757" s="3"/>
      <c r="J757" s="3"/>
    </row>
    <row r="758">
      <c r="I758" s="3"/>
      <c r="J758" s="3"/>
    </row>
    <row r="759">
      <c r="I759" s="3"/>
      <c r="J759" s="3"/>
    </row>
    <row r="760">
      <c r="I760" s="3"/>
      <c r="J760" s="3"/>
    </row>
    <row r="761">
      <c r="I761" s="3"/>
      <c r="J761" s="3"/>
    </row>
    <row r="762">
      <c r="I762" s="3"/>
      <c r="J762" s="3"/>
    </row>
    <row r="763">
      <c r="I763" s="3"/>
      <c r="J763" s="3"/>
    </row>
    <row r="764">
      <c r="I764" s="3"/>
      <c r="J764" s="3"/>
    </row>
    <row r="765">
      <c r="I765" s="3"/>
      <c r="J765" s="3"/>
    </row>
    <row r="766">
      <c r="I766" s="3"/>
      <c r="J766" s="3"/>
    </row>
    <row r="767">
      <c r="I767" s="3"/>
      <c r="J767" s="3"/>
    </row>
    <row r="768">
      <c r="I768" s="3"/>
      <c r="J768" s="3"/>
    </row>
    <row r="769">
      <c r="I769" s="3"/>
      <c r="J769" s="3"/>
    </row>
    <row r="770">
      <c r="I770" s="3"/>
      <c r="J770" s="3"/>
    </row>
    <row r="771">
      <c r="I771" s="3"/>
      <c r="J771" s="3"/>
    </row>
    <row r="772">
      <c r="I772" s="3"/>
      <c r="J772" s="3"/>
    </row>
    <row r="773">
      <c r="I773" s="3"/>
      <c r="J773" s="3"/>
    </row>
    <row r="774">
      <c r="I774" s="3"/>
      <c r="J774" s="3"/>
    </row>
    <row r="775">
      <c r="I775" s="3"/>
      <c r="J775" s="3"/>
    </row>
    <row r="776">
      <c r="I776" s="3"/>
      <c r="J776" s="3"/>
    </row>
    <row r="777">
      <c r="I777" s="3"/>
      <c r="J777" s="3"/>
    </row>
    <row r="778">
      <c r="I778" s="3"/>
      <c r="J778" s="3"/>
    </row>
    <row r="779">
      <c r="I779" s="3"/>
      <c r="J779" s="3"/>
    </row>
    <row r="780">
      <c r="I780" s="3"/>
      <c r="J780" s="3"/>
    </row>
    <row r="781">
      <c r="I781" s="3"/>
      <c r="J781" s="3"/>
    </row>
    <row r="782">
      <c r="I782" s="3"/>
      <c r="J782" s="3"/>
    </row>
    <row r="783">
      <c r="I783" s="3"/>
      <c r="J783" s="3"/>
    </row>
    <row r="784">
      <c r="I784" s="3"/>
      <c r="J784" s="3"/>
    </row>
    <row r="785">
      <c r="I785" s="3"/>
      <c r="J785" s="3"/>
    </row>
    <row r="786">
      <c r="I786" s="3"/>
      <c r="J786" s="3"/>
    </row>
    <row r="787">
      <c r="I787" s="3"/>
      <c r="J787" s="3"/>
    </row>
    <row r="788">
      <c r="I788" s="3"/>
      <c r="J788" s="3"/>
    </row>
    <row r="789">
      <c r="I789" s="3"/>
      <c r="J789" s="3"/>
    </row>
    <row r="790">
      <c r="I790" s="3"/>
      <c r="J790" s="3"/>
    </row>
    <row r="791">
      <c r="I791" s="3"/>
      <c r="J791" s="3"/>
    </row>
    <row r="792">
      <c r="I792" s="3"/>
      <c r="J792" s="3"/>
    </row>
    <row r="793">
      <c r="I793" s="3"/>
      <c r="J793" s="3"/>
    </row>
    <row r="794">
      <c r="I794" s="3"/>
      <c r="J794" s="3"/>
    </row>
    <row r="795">
      <c r="I795" s="3"/>
      <c r="J795" s="3"/>
    </row>
    <row r="796">
      <c r="I796" s="3"/>
      <c r="J796" s="3"/>
    </row>
    <row r="797">
      <c r="I797" s="3"/>
      <c r="J797" s="3"/>
    </row>
    <row r="798">
      <c r="I798" s="3"/>
      <c r="J798" s="3"/>
    </row>
    <row r="799">
      <c r="I799" s="3"/>
      <c r="J799" s="3"/>
    </row>
    <row r="800">
      <c r="I800" s="3"/>
      <c r="J800" s="3"/>
    </row>
    <row r="801">
      <c r="I801" s="3"/>
      <c r="J801" s="3"/>
    </row>
    <row r="802">
      <c r="I802" s="3"/>
      <c r="J802" s="3"/>
    </row>
    <row r="803">
      <c r="I803" s="3"/>
      <c r="J803" s="3"/>
    </row>
    <row r="804">
      <c r="I804" s="3"/>
      <c r="J804" s="3"/>
    </row>
    <row r="805">
      <c r="I805" s="3"/>
      <c r="J805" s="3"/>
    </row>
    <row r="806">
      <c r="I806" s="3"/>
      <c r="J806" s="3"/>
    </row>
    <row r="807">
      <c r="I807" s="3"/>
      <c r="J807" s="3"/>
    </row>
    <row r="808">
      <c r="I808" s="3"/>
      <c r="J808" s="3"/>
    </row>
    <row r="809">
      <c r="I809" s="3"/>
      <c r="J809" s="3"/>
    </row>
    <row r="810">
      <c r="I810" s="3"/>
      <c r="J810" s="3"/>
    </row>
    <row r="811">
      <c r="I811" s="3"/>
      <c r="J811" s="3"/>
    </row>
    <row r="812">
      <c r="I812" s="3"/>
      <c r="J812" s="3"/>
    </row>
    <row r="813">
      <c r="I813" s="3"/>
      <c r="J813" s="3"/>
    </row>
    <row r="814">
      <c r="I814" s="3"/>
      <c r="J814" s="3"/>
    </row>
    <row r="815">
      <c r="I815" s="3"/>
      <c r="J815" s="3"/>
    </row>
    <row r="816">
      <c r="I816" s="3"/>
      <c r="J816" s="3"/>
    </row>
    <row r="817">
      <c r="I817" s="3"/>
      <c r="J817" s="3"/>
    </row>
    <row r="818">
      <c r="I818" s="3"/>
      <c r="J818" s="3"/>
    </row>
    <row r="819">
      <c r="I819" s="3"/>
      <c r="J819" s="3"/>
    </row>
    <row r="820">
      <c r="I820" s="3"/>
      <c r="J820" s="3"/>
    </row>
    <row r="821">
      <c r="I821" s="3"/>
      <c r="J821" s="3"/>
    </row>
    <row r="822">
      <c r="I822" s="3"/>
      <c r="J822" s="3"/>
    </row>
    <row r="823">
      <c r="I823" s="3"/>
      <c r="J823" s="3"/>
    </row>
    <row r="824">
      <c r="I824" s="3"/>
      <c r="J824" s="3"/>
    </row>
    <row r="825">
      <c r="I825" s="3"/>
      <c r="J825" s="3"/>
    </row>
    <row r="826">
      <c r="I826" s="3"/>
      <c r="J826" s="3"/>
    </row>
    <row r="827">
      <c r="I827" s="3"/>
      <c r="J827" s="3"/>
    </row>
    <row r="828">
      <c r="I828" s="3"/>
      <c r="J828" s="3"/>
    </row>
    <row r="829">
      <c r="I829" s="3"/>
      <c r="J829" s="3"/>
    </row>
    <row r="830">
      <c r="I830" s="3"/>
      <c r="J830" s="3"/>
    </row>
    <row r="831">
      <c r="I831" s="3"/>
      <c r="J831" s="3"/>
    </row>
    <row r="832">
      <c r="I832" s="3"/>
      <c r="J832" s="3"/>
    </row>
    <row r="833">
      <c r="I833" s="3"/>
      <c r="J833" s="3"/>
    </row>
    <row r="834">
      <c r="I834" s="3"/>
      <c r="J834" s="3"/>
    </row>
    <row r="835">
      <c r="I835" s="3"/>
      <c r="J835" s="3"/>
    </row>
    <row r="836">
      <c r="I836" s="3"/>
      <c r="J836" s="3"/>
    </row>
    <row r="837">
      <c r="I837" s="3"/>
      <c r="J837" s="3"/>
    </row>
    <row r="838">
      <c r="I838" s="3"/>
      <c r="J838" s="3"/>
    </row>
    <row r="839">
      <c r="I839" s="3"/>
      <c r="J839" s="3"/>
    </row>
    <row r="840">
      <c r="I840" s="3"/>
      <c r="J840" s="3"/>
    </row>
    <row r="841">
      <c r="I841" s="3"/>
      <c r="J841" s="3"/>
    </row>
    <row r="842">
      <c r="I842" s="3"/>
      <c r="J842" s="3"/>
    </row>
    <row r="843">
      <c r="I843" s="3"/>
      <c r="J843" s="3"/>
    </row>
    <row r="844">
      <c r="I844" s="3"/>
      <c r="J844" s="3"/>
    </row>
    <row r="845">
      <c r="I845" s="3"/>
      <c r="J845" s="3"/>
    </row>
    <row r="846">
      <c r="I846" s="3"/>
      <c r="J846" s="3"/>
    </row>
    <row r="847">
      <c r="I847" s="3"/>
      <c r="J847" s="3"/>
    </row>
    <row r="848">
      <c r="I848" s="3"/>
      <c r="J848" s="3"/>
    </row>
    <row r="849">
      <c r="I849" s="3"/>
      <c r="J849" s="3"/>
    </row>
    <row r="850">
      <c r="I850" s="3"/>
      <c r="J850" s="3"/>
    </row>
    <row r="851">
      <c r="I851" s="3"/>
      <c r="J851" s="3"/>
    </row>
    <row r="852">
      <c r="I852" s="3"/>
      <c r="J852" s="3"/>
    </row>
    <row r="853">
      <c r="I853" s="3"/>
      <c r="J853" s="3"/>
    </row>
    <row r="854">
      <c r="I854" s="3"/>
      <c r="J854" s="3"/>
    </row>
    <row r="855">
      <c r="I855" s="3"/>
      <c r="J855" s="3"/>
    </row>
    <row r="856">
      <c r="I856" s="3"/>
      <c r="J856" s="3"/>
    </row>
    <row r="857">
      <c r="I857" s="3"/>
      <c r="J857" s="3"/>
    </row>
    <row r="858">
      <c r="I858" s="3"/>
      <c r="J858" s="3"/>
    </row>
    <row r="859">
      <c r="I859" s="3"/>
      <c r="J859" s="3"/>
    </row>
    <row r="860">
      <c r="I860" s="3"/>
      <c r="J860" s="3"/>
    </row>
    <row r="861">
      <c r="I861" s="3"/>
      <c r="J861" s="3"/>
    </row>
    <row r="862">
      <c r="I862" s="3"/>
      <c r="J862" s="3"/>
    </row>
    <row r="863">
      <c r="I863" s="3"/>
      <c r="J863" s="3"/>
    </row>
    <row r="864">
      <c r="I864" s="3"/>
      <c r="J864" s="3"/>
    </row>
    <row r="865">
      <c r="I865" s="3"/>
      <c r="J865" s="3"/>
    </row>
    <row r="866">
      <c r="I866" s="3"/>
      <c r="J866" s="3"/>
    </row>
    <row r="867">
      <c r="I867" s="3"/>
      <c r="J867" s="3"/>
    </row>
    <row r="868">
      <c r="I868" s="3"/>
      <c r="J868" s="3"/>
    </row>
    <row r="869">
      <c r="I869" s="3"/>
      <c r="J869" s="3"/>
    </row>
    <row r="870">
      <c r="I870" s="3"/>
      <c r="J870" s="3"/>
    </row>
    <row r="871">
      <c r="I871" s="3"/>
      <c r="J871" s="3"/>
    </row>
    <row r="872">
      <c r="I872" s="3"/>
      <c r="J872" s="3"/>
    </row>
    <row r="873">
      <c r="I873" s="3"/>
      <c r="J873" s="3"/>
    </row>
    <row r="874">
      <c r="I874" s="3"/>
      <c r="J874" s="3"/>
    </row>
    <row r="875">
      <c r="I875" s="3"/>
      <c r="J875" s="3"/>
    </row>
    <row r="876">
      <c r="I876" s="3"/>
      <c r="J876" s="3"/>
    </row>
    <row r="877">
      <c r="I877" s="3"/>
      <c r="J877" s="3"/>
    </row>
    <row r="878">
      <c r="I878" s="3"/>
      <c r="J878" s="3"/>
    </row>
    <row r="879">
      <c r="I879" s="3"/>
      <c r="J879" s="3"/>
    </row>
    <row r="880">
      <c r="I880" s="3"/>
      <c r="J880" s="3"/>
    </row>
    <row r="881">
      <c r="I881" s="3"/>
      <c r="J881" s="3"/>
    </row>
    <row r="882">
      <c r="I882" s="3"/>
      <c r="J882" s="3"/>
    </row>
    <row r="883">
      <c r="I883" s="3"/>
      <c r="J883" s="3"/>
    </row>
    <row r="884">
      <c r="I884" s="3"/>
      <c r="J884" s="3"/>
    </row>
    <row r="885">
      <c r="I885" s="3"/>
      <c r="J885" s="3"/>
    </row>
    <row r="886">
      <c r="I886" s="3"/>
      <c r="J886" s="3"/>
    </row>
    <row r="887">
      <c r="I887" s="3"/>
      <c r="J887" s="3"/>
    </row>
    <row r="888">
      <c r="I888" s="3"/>
      <c r="J888" s="3"/>
    </row>
    <row r="889">
      <c r="I889" s="3"/>
      <c r="J889" s="3"/>
    </row>
    <row r="890">
      <c r="I890" s="3"/>
      <c r="J890" s="3"/>
    </row>
    <row r="891">
      <c r="I891" s="3"/>
      <c r="J891" s="3"/>
    </row>
    <row r="892">
      <c r="I892" s="3"/>
      <c r="J892" s="3"/>
    </row>
    <row r="893">
      <c r="I893" s="3"/>
      <c r="J893" s="3"/>
    </row>
    <row r="894">
      <c r="I894" s="3"/>
      <c r="J894" s="3"/>
    </row>
    <row r="895">
      <c r="I895" s="3"/>
      <c r="J895" s="3"/>
    </row>
    <row r="896">
      <c r="I896" s="3"/>
      <c r="J896" s="3"/>
    </row>
    <row r="897">
      <c r="I897" s="3"/>
      <c r="J897" s="3"/>
    </row>
    <row r="898">
      <c r="I898" s="3"/>
      <c r="J898" s="3"/>
    </row>
    <row r="899">
      <c r="I899" s="3"/>
      <c r="J899" s="3"/>
    </row>
    <row r="900">
      <c r="I900" s="3"/>
      <c r="J900" s="3"/>
    </row>
    <row r="901">
      <c r="I901" s="3"/>
      <c r="J901" s="3"/>
    </row>
    <row r="902">
      <c r="I902" s="3"/>
      <c r="J902" s="3"/>
    </row>
    <row r="903">
      <c r="I903" s="3"/>
      <c r="J903" s="3"/>
    </row>
    <row r="904">
      <c r="I904" s="3"/>
      <c r="J904" s="3"/>
    </row>
    <row r="905">
      <c r="I905" s="3"/>
      <c r="J905" s="3"/>
    </row>
    <row r="906">
      <c r="I906" s="3"/>
      <c r="J906" s="3"/>
    </row>
    <row r="907">
      <c r="I907" s="3"/>
      <c r="J907" s="3"/>
    </row>
    <row r="908">
      <c r="I908" s="3"/>
      <c r="J908" s="3"/>
    </row>
    <row r="909">
      <c r="I909" s="3"/>
      <c r="J909" s="3"/>
    </row>
    <row r="910">
      <c r="I910" s="3"/>
      <c r="J910" s="3"/>
    </row>
    <row r="911">
      <c r="I911" s="3"/>
      <c r="J911" s="3"/>
    </row>
    <row r="912">
      <c r="I912" s="3"/>
      <c r="J912" s="3"/>
    </row>
    <row r="913">
      <c r="I913" s="3"/>
      <c r="J913" s="3"/>
    </row>
    <row r="914">
      <c r="I914" s="3"/>
      <c r="J914" s="3"/>
    </row>
    <row r="915">
      <c r="I915" s="3"/>
      <c r="J915" s="3"/>
    </row>
    <row r="916">
      <c r="I916" s="3"/>
      <c r="J916" s="3"/>
    </row>
    <row r="917">
      <c r="I917" s="3"/>
      <c r="J917" s="3"/>
    </row>
    <row r="918">
      <c r="I918" s="3"/>
      <c r="J918" s="3"/>
    </row>
    <row r="919">
      <c r="I919" s="3"/>
      <c r="J919" s="3"/>
    </row>
    <row r="920">
      <c r="I920" s="3"/>
      <c r="J920" s="3"/>
    </row>
    <row r="921">
      <c r="I921" s="3"/>
      <c r="J921" s="3"/>
    </row>
    <row r="922">
      <c r="I922" s="3"/>
      <c r="J922" s="3"/>
    </row>
    <row r="923">
      <c r="I923" s="3"/>
      <c r="J923" s="3"/>
    </row>
    <row r="924">
      <c r="I924" s="3"/>
      <c r="J924" s="3"/>
    </row>
    <row r="925">
      <c r="I925" s="3"/>
      <c r="J925" s="3"/>
    </row>
    <row r="926">
      <c r="I926" s="3"/>
      <c r="J926" s="3"/>
    </row>
    <row r="927">
      <c r="I927" s="3"/>
      <c r="J927" s="3"/>
    </row>
    <row r="928">
      <c r="I928" s="3"/>
      <c r="J928" s="3"/>
    </row>
    <row r="929">
      <c r="I929" s="3"/>
      <c r="J929" s="3"/>
    </row>
    <row r="930">
      <c r="I930" s="3"/>
      <c r="J930" s="3"/>
    </row>
    <row r="931">
      <c r="I931" s="3"/>
      <c r="J931" s="3"/>
    </row>
    <row r="932">
      <c r="I932" s="3"/>
      <c r="J932" s="3"/>
    </row>
    <row r="933">
      <c r="I933" s="3"/>
      <c r="J933" s="3"/>
    </row>
    <row r="934">
      <c r="I934" s="3"/>
      <c r="J934" s="3"/>
    </row>
    <row r="935">
      <c r="I935" s="3"/>
      <c r="J935" s="3"/>
    </row>
    <row r="936">
      <c r="I936" s="3"/>
      <c r="J936" s="3"/>
    </row>
    <row r="937">
      <c r="I937" s="3"/>
      <c r="J937" s="3"/>
    </row>
    <row r="938">
      <c r="I938" s="3"/>
      <c r="J938" s="3"/>
    </row>
    <row r="939">
      <c r="I939" s="3"/>
      <c r="J939" s="3"/>
    </row>
    <row r="940">
      <c r="I940" s="3"/>
      <c r="J940" s="3"/>
    </row>
    <row r="941">
      <c r="I941" s="3"/>
      <c r="J941" s="3"/>
    </row>
    <row r="942">
      <c r="I942" s="3"/>
      <c r="J942" s="3"/>
    </row>
    <row r="943">
      <c r="I943" s="3"/>
      <c r="J943" s="3"/>
    </row>
    <row r="944">
      <c r="I944" s="3"/>
      <c r="J944" s="3"/>
    </row>
    <row r="945">
      <c r="I945" s="3"/>
      <c r="J945" s="3"/>
    </row>
    <row r="946">
      <c r="I946" s="3"/>
      <c r="J946" s="3"/>
    </row>
    <row r="947">
      <c r="I947" s="3"/>
      <c r="J947" s="3"/>
    </row>
    <row r="948">
      <c r="I948" s="3"/>
      <c r="J948" s="3"/>
    </row>
    <row r="949">
      <c r="I949" s="3"/>
      <c r="J949" s="3"/>
    </row>
    <row r="950">
      <c r="I950" s="3"/>
      <c r="J950" s="3"/>
    </row>
    <row r="951">
      <c r="I951" s="3"/>
      <c r="J951" s="3"/>
    </row>
    <row r="952">
      <c r="I952" s="3"/>
      <c r="J952" s="3"/>
    </row>
    <row r="953">
      <c r="I953" s="3"/>
      <c r="J953" s="3"/>
    </row>
    <row r="954">
      <c r="I954" s="3"/>
      <c r="J954" s="3"/>
    </row>
    <row r="955">
      <c r="I955" s="3"/>
      <c r="J955" s="3"/>
    </row>
    <row r="956">
      <c r="I956" s="3"/>
      <c r="J956" s="3"/>
    </row>
    <row r="957">
      <c r="I957" s="3"/>
      <c r="J957" s="3"/>
    </row>
    <row r="958">
      <c r="I958" s="3"/>
      <c r="J958" s="3"/>
    </row>
    <row r="959">
      <c r="I959" s="3"/>
      <c r="J959" s="3"/>
    </row>
    <row r="960">
      <c r="I960" s="3"/>
      <c r="J960" s="3"/>
    </row>
    <row r="961">
      <c r="I961" s="3"/>
      <c r="J961" s="3"/>
    </row>
    <row r="962">
      <c r="I962" s="3"/>
      <c r="J962" s="3"/>
    </row>
    <row r="963">
      <c r="I963" s="3"/>
      <c r="J963" s="3"/>
    </row>
    <row r="964">
      <c r="I964" s="3"/>
      <c r="J964" s="3"/>
    </row>
    <row r="965">
      <c r="I965" s="3"/>
      <c r="J965" s="3"/>
    </row>
    <row r="966">
      <c r="I966" s="3"/>
      <c r="J966" s="3"/>
    </row>
    <row r="967">
      <c r="I967" s="3"/>
      <c r="J967" s="3"/>
    </row>
    <row r="968">
      <c r="I968" s="3"/>
      <c r="J968" s="3"/>
    </row>
    <row r="969">
      <c r="I969" s="3"/>
      <c r="J969" s="3"/>
    </row>
    <row r="970">
      <c r="I970" s="3"/>
      <c r="J970" s="3"/>
    </row>
    <row r="971">
      <c r="I971" s="3"/>
      <c r="J971" s="3"/>
    </row>
    <row r="972">
      <c r="I972" s="3"/>
      <c r="J972" s="3"/>
    </row>
    <row r="973">
      <c r="I973" s="3"/>
      <c r="J973" s="3"/>
    </row>
    <row r="974">
      <c r="I974" s="3"/>
      <c r="J974" s="3"/>
    </row>
    <row r="975">
      <c r="I975" s="3"/>
      <c r="J975" s="3"/>
    </row>
    <row r="976">
      <c r="I976" s="3"/>
      <c r="J976" s="3"/>
    </row>
    <row r="977">
      <c r="I977" s="3"/>
      <c r="J977" s="3"/>
    </row>
    <row r="978">
      <c r="I978" s="3"/>
      <c r="J978" s="3"/>
    </row>
    <row r="979">
      <c r="I979" s="3"/>
      <c r="J979" s="3"/>
    </row>
    <row r="980">
      <c r="I980" s="3"/>
      <c r="J980" s="3"/>
    </row>
    <row r="981">
      <c r="I981" s="3"/>
      <c r="J981" s="3"/>
    </row>
    <row r="982">
      <c r="I982" s="3"/>
      <c r="J982" s="3"/>
    </row>
    <row r="983">
      <c r="I983" s="3"/>
      <c r="J983" s="3"/>
    </row>
    <row r="984">
      <c r="I984" s="3"/>
      <c r="J984" s="3"/>
    </row>
    <row r="985">
      <c r="I985" s="3"/>
      <c r="J985" s="3"/>
    </row>
    <row r="986">
      <c r="I986" s="3"/>
      <c r="J986" s="3"/>
    </row>
    <row r="987">
      <c r="I987" s="3"/>
      <c r="J987" s="3"/>
    </row>
    <row r="988">
      <c r="I988" s="3"/>
      <c r="J988" s="3"/>
    </row>
    <row r="989">
      <c r="I989" s="3"/>
      <c r="J989" s="3"/>
    </row>
    <row r="990">
      <c r="I990" s="3"/>
      <c r="J990" s="3"/>
    </row>
    <row r="991">
      <c r="I991" s="3"/>
      <c r="J991" s="3"/>
    </row>
    <row r="992">
      <c r="I992" s="3"/>
      <c r="J992" s="3"/>
    </row>
    <row r="993">
      <c r="I993" s="3"/>
      <c r="J993" s="3"/>
    </row>
    <row r="994">
      <c r="I994" s="3"/>
      <c r="J994" s="3"/>
    </row>
    <row r="995">
      <c r="I995" s="3"/>
      <c r="J995" s="3"/>
    </row>
    <row r="996">
      <c r="I996" s="3"/>
      <c r="J996" s="3"/>
    </row>
    <row r="997">
      <c r="I997" s="3"/>
      <c r="J997" s="3"/>
    </row>
    <row r="998">
      <c r="I998" s="3"/>
      <c r="J998" s="3"/>
    </row>
    <row r="999">
      <c r="I999" s="3"/>
      <c r="J999" s="3"/>
    </row>
    <row r="1000">
      <c r="I1000" s="3"/>
      <c r="J1000" s="3"/>
    </row>
  </sheetData>
  <conditionalFormatting sqref="J2:J12">
    <cfRule type="cellIs" dxfId="3" priority="1" operator="greaterThan">
      <formula>1</formula>
    </cfRule>
  </conditionalFormatting>
  <conditionalFormatting sqref="C16:H16">
    <cfRule type="cellIs" dxfId="4" priority="2" operator="greaterThan">
      <formula>1</formula>
    </cfRule>
  </conditionalFormatting>
  <dataValidations>
    <dataValidation type="decimal" operator="greaterThan" allowBlank="1" showDropDown="1" sqref="J2:J12">
      <formula1>1.0</formula1>
    </dataValidation>
    <dataValidation type="list" allowBlank="1" showErrorMessage="1" sqref="C2:H12">
      <formula1>"Striker,Defense,Midfield,Goalie,Bench,Rest"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63"/>
    <col customWidth="1" min="3" max="3" width="55.25"/>
    <col customWidth="1" min="4" max="4" width="51.25"/>
  </cols>
  <sheetData>
    <row r="1">
      <c r="A1" s="7" t="s">
        <v>25</v>
      </c>
    </row>
    <row r="2">
      <c r="A2" s="8" t="s">
        <v>26</v>
      </c>
      <c r="B2" s="8" t="s">
        <v>27</v>
      </c>
      <c r="C2" s="8" t="s">
        <v>28</v>
      </c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29</v>
      </c>
      <c r="B3" s="10" t="s">
        <v>30</v>
      </c>
      <c r="C3" s="1" t="s">
        <v>31</v>
      </c>
      <c r="D3" s="1"/>
    </row>
    <row r="4">
      <c r="A4" s="10" t="s">
        <v>32</v>
      </c>
      <c r="B4" s="10" t="s">
        <v>33</v>
      </c>
      <c r="C4" s="1" t="s">
        <v>34</v>
      </c>
      <c r="D4" s="1"/>
    </row>
    <row r="5">
      <c r="A5" s="10" t="s">
        <v>35</v>
      </c>
      <c r="B5" s="10" t="s">
        <v>36</v>
      </c>
      <c r="C5" s="1" t="s">
        <v>37</v>
      </c>
      <c r="D5" s="1"/>
    </row>
    <row r="6">
      <c r="A6" s="10" t="s">
        <v>38</v>
      </c>
      <c r="B6" s="10" t="s">
        <v>39</v>
      </c>
      <c r="C6" s="1" t="s">
        <v>40</v>
      </c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7" t="s">
        <v>41</v>
      </c>
    </row>
    <row r="10">
      <c r="A10" s="8" t="s">
        <v>42</v>
      </c>
      <c r="B10" s="8" t="s">
        <v>43</v>
      </c>
      <c r="C10" s="8" t="s">
        <v>44</v>
      </c>
      <c r="D10" s="8" t="s">
        <v>45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v>46100.0</v>
      </c>
      <c r="B11" s="10" t="s">
        <v>46</v>
      </c>
      <c r="C11" s="10" t="s">
        <v>47</v>
      </c>
      <c r="D11" s="10" t="s">
        <v>48</v>
      </c>
    </row>
    <row r="12">
      <c r="A12" s="11">
        <v>46107.0</v>
      </c>
      <c r="B12" s="10" t="s">
        <v>49</v>
      </c>
      <c r="C12" s="10" t="s">
        <v>50</v>
      </c>
      <c r="D12" s="10" t="s">
        <v>51</v>
      </c>
    </row>
    <row r="13">
      <c r="A13" s="12">
        <v>46121.0</v>
      </c>
      <c r="B13" s="10" t="s">
        <v>52</v>
      </c>
      <c r="C13" s="10" t="s">
        <v>53</v>
      </c>
      <c r="D13" s="10" t="s">
        <v>54</v>
      </c>
    </row>
    <row r="14">
      <c r="A14" s="13" t="s">
        <v>55</v>
      </c>
      <c r="B14" s="10" t="s">
        <v>56</v>
      </c>
      <c r="C14" s="10" t="s">
        <v>57</v>
      </c>
      <c r="D14" s="10" t="s">
        <v>58</v>
      </c>
    </row>
    <row r="15">
      <c r="A15" s="14" t="s">
        <v>59</v>
      </c>
      <c r="B15" s="10" t="s">
        <v>60</v>
      </c>
      <c r="C15" s="10" t="s">
        <v>61</v>
      </c>
      <c r="D15" s="10" t="s">
        <v>62</v>
      </c>
    </row>
    <row r="16">
      <c r="A16" s="14" t="s">
        <v>63</v>
      </c>
      <c r="B16" s="10" t="s">
        <v>64</v>
      </c>
      <c r="C16" s="10" t="s">
        <v>65</v>
      </c>
      <c r="D16" s="10" t="s">
        <v>66</v>
      </c>
    </row>
    <row r="17">
      <c r="A17" s="15">
        <v>46170.0</v>
      </c>
      <c r="B17" s="10" t="s">
        <v>67</v>
      </c>
      <c r="C17" s="10" t="s">
        <v>68</v>
      </c>
      <c r="D17" s="10" t="s">
        <v>69</v>
      </c>
    </row>
    <row r="18">
      <c r="A18" s="11">
        <v>46177.0</v>
      </c>
      <c r="B18" s="10" t="s">
        <v>70</v>
      </c>
      <c r="C18" s="10" t="s">
        <v>71</v>
      </c>
      <c r="D18" s="10" t="s">
        <v>72</v>
      </c>
    </row>
  </sheetData>
  <mergeCells count="2">
    <mergeCell ref="A1:D1"/>
    <mergeCell ref="A9:D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5.38"/>
    <col customWidth="1" min="3" max="3" width="19.75"/>
    <col customWidth="1" min="4" max="4" width="36.0"/>
    <col customWidth="1" min="5" max="5" width="23.88"/>
    <col customWidth="1" min="7" max="7" width="79.75"/>
  </cols>
  <sheetData>
    <row r="1" ht="22.5" customHeight="1">
      <c r="A1" s="16" t="s">
        <v>0</v>
      </c>
      <c r="B1" s="16" t="s">
        <v>73</v>
      </c>
      <c r="C1" s="16" t="s">
        <v>74</v>
      </c>
      <c r="D1" s="16" t="s">
        <v>75</v>
      </c>
      <c r="E1" s="17" t="s">
        <v>76</v>
      </c>
      <c r="F1" s="17" t="s">
        <v>77</v>
      </c>
      <c r="G1" s="16" t="s">
        <v>78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2.5" customHeight="1">
      <c r="A2" s="18" t="s">
        <v>21</v>
      </c>
      <c r="B2" s="18">
        <f t="shared" ref="B2:B12" si="1">IF(C2="Little experience", 1, IF(C2="Some experience", 2, IF(C2="Very experienced", 3, 0)))</f>
        <v>1</v>
      </c>
      <c r="C2" s="19" t="s">
        <v>79</v>
      </c>
      <c r="D2" s="18" t="s">
        <v>80</v>
      </c>
      <c r="G2" s="2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>
      <c r="A3" s="18" t="s">
        <v>10</v>
      </c>
      <c r="B3" s="20">
        <f t="shared" si="1"/>
        <v>2</v>
      </c>
      <c r="C3" s="19" t="s">
        <v>81</v>
      </c>
      <c r="D3" s="18" t="s">
        <v>82</v>
      </c>
      <c r="G3" s="2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18" t="s">
        <v>12</v>
      </c>
      <c r="B4" s="20">
        <f t="shared" si="1"/>
        <v>3</v>
      </c>
      <c r="C4" s="19" t="s">
        <v>83</v>
      </c>
      <c r="D4" s="18" t="s">
        <v>84</v>
      </c>
      <c r="G4" s="2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18" t="s">
        <v>19</v>
      </c>
      <c r="B5" s="20">
        <f t="shared" si="1"/>
        <v>2</v>
      </c>
      <c r="C5" s="19" t="s">
        <v>81</v>
      </c>
      <c r="D5" s="18" t="s">
        <v>85</v>
      </c>
      <c r="G5" s="2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18" t="s">
        <v>20</v>
      </c>
      <c r="B6" s="20">
        <f t="shared" si="1"/>
        <v>2</v>
      </c>
      <c r="C6" s="19" t="s">
        <v>81</v>
      </c>
      <c r="D6" s="18" t="s">
        <v>86</v>
      </c>
      <c r="G6" s="2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18" t="s">
        <v>13</v>
      </c>
      <c r="B7" s="20">
        <f t="shared" si="1"/>
        <v>2</v>
      </c>
      <c r="C7" s="19" t="s">
        <v>81</v>
      </c>
      <c r="D7" s="18" t="s">
        <v>87</v>
      </c>
      <c r="G7" s="2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18" t="s">
        <v>14</v>
      </c>
      <c r="B8" s="20">
        <f t="shared" si="1"/>
        <v>3</v>
      </c>
      <c r="C8" s="19" t="s">
        <v>83</v>
      </c>
      <c r="D8" s="18" t="s">
        <v>85</v>
      </c>
      <c r="G8" s="2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2.5" customHeight="1">
      <c r="A9" s="18" t="s">
        <v>16</v>
      </c>
      <c r="B9" s="20">
        <f t="shared" si="1"/>
        <v>2</v>
      </c>
      <c r="C9" s="19" t="s">
        <v>81</v>
      </c>
      <c r="D9" s="18" t="s">
        <v>88</v>
      </c>
      <c r="G9" s="2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22.5" customHeight="1">
      <c r="A10" s="18" t="s">
        <v>17</v>
      </c>
      <c r="B10" s="20">
        <f t="shared" si="1"/>
        <v>2</v>
      </c>
      <c r="C10" s="19" t="s">
        <v>81</v>
      </c>
      <c r="D10" s="18" t="s">
        <v>88</v>
      </c>
      <c r="G10" s="2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22.5" customHeight="1">
      <c r="A11" s="18" t="s">
        <v>18</v>
      </c>
      <c r="B11" s="20">
        <f t="shared" si="1"/>
        <v>1</v>
      </c>
      <c r="C11" s="19" t="s">
        <v>79</v>
      </c>
      <c r="D11" s="18" t="s">
        <v>80</v>
      </c>
      <c r="G11" s="2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2.5" customHeight="1">
      <c r="A12" s="18" t="s">
        <v>15</v>
      </c>
      <c r="B12" s="20">
        <f t="shared" si="1"/>
        <v>3</v>
      </c>
      <c r="C12" s="19" t="s">
        <v>83</v>
      </c>
      <c r="D12" s="18" t="s">
        <v>89</v>
      </c>
      <c r="G12" s="2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</sheetData>
  <dataValidations>
    <dataValidation type="list" allowBlank="1" showErrorMessage="1" sqref="D2:D12">
      <formula1>"Goalkeeper,Defense,Midfield,Attack/Striker"</formula1>
    </dataValidation>
    <dataValidation type="list" allowBlank="1" showErrorMessage="1" sqref="C2:C12">
      <formula1>"Very experienced,Some experience,Little experience"</formula1>
    </dataValidation>
  </dataValidations>
  <drawing r:id="rId1"/>
  <tableParts count="1">
    <tablePart r:id="rId3"/>
  </tableParts>
</worksheet>
</file>